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字格式" sheetId="1" state="visible" r:id="rId1"/>
    <sheet xmlns:r="http://schemas.openxmlformats.org/officeDocument/2006/relationships" name="表格" sheetId="2" state="visible" r:id="rId2"/>
    <sheet xmlns:r="http://schemas.openxmlformats.org/officeDocument/2006/relationships" name="图表" sheetId="3" state="visible" r:id="rId3"/>
    <sheet xmlns:r="http://schemas.openxmlformats.org/officeDocument/2006/relationships" name="高级功能" sheetId="4" state="visible" r:id="rId4"/>
    <sheet xmlns:r="http://schemas.openxmlformats.org/officeDocument/2006/relationships" name="项目进度" sheetId="5" state="visible" r:id="rId5"/>
  </sheets>
  <definedNames>
    <definedName name="_xlnm._FilterDatabase" localSheetId="3" hidden="1">'高级功能'!$A$5:$F$15</definedName>
    <definedName name="_xlnm.Print_Titles" localSheetId="3">'高级功能'!$1:$5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¥#,##0"/>
    <numFmt numFmtId="166" formatCode="YYYY-MM-DD"/>
    <numFmt numFmtId="167" formatCode="HH:MM:SS"/>
  </numFmts>
  <fonts count="14">
    <font>
      <name val="Calibri"/>
      <family val="2"/>
      <color theme="1"/>
      <sz val="11"/>
      <scheme val="minor"/>
    </font>
    <font>
      <name val="Microsoft YaHei"/>
      <b val="1"/>
      <color rgb="002B2D42"/>
      <sz val="16"/>
    </font>
    <font>
      <name val="Microsoft YaHei"/>
      <b val="1"/>
      <color rgb="005CBDB4"/>
      <sz val="13"/>
    </font>
    <font>
      <name val="Microsoft YaHei"/>
      <b val="1"/>
      <color rgb="00FFFFFF"/>
      <sz val="12"/>
    </font>
    <font>
      <name val="Microsoft YaHei"/>
      <b val="1"/>
      <color rgb="002B2D42"/>
      <sz val="20"/>
    </font>
    <font>
      <name val="Microsoft YaHei"/>
      <color rgb="002B2D42"/>
      <sz val="11"/>
    </font>
    <font>
      <name val="Microsoft YaHei"/>
      <b val="1"/>
      <color rgb="002B2D42"/>
      <sz val="14"/>
    </font>
    <font>
      <name val="Microsoft YaHei"/>
      <color rgb="002B2D42"/>
      <sz val="12"/>
    </font>
    <font>
      <name val="Microsoft YaHei"/>
      <color rgb="002B2D42"/>
      <sz val="10"/>
    </font>
    <font>
      <name val="Microsoft YaHei"/>
      <color rgb="002B2D42"/>
      <sz val="9"/>
    </font>
    <font>
      <name val="Microsoft YaHei"/>
      <color rgb="007A7C8E"/>
      <sz val="10"/>
    </font>
    <font>
      <name val="Microsoft YaHei"/>
      <b val="1"/>
      <color rgb="002B2D42"/>
      <sz val="11"/>
    </font>
    <font>
      <name val="Consolas"/>
      <color rgb="005CBDB4"/>
      <sz val="10"/>
    </font>
    <font>
      <name val="Microsoft YaHe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81D8D1"/>
        <bgColor rgb="0081D8D1"/>
      </patternFill>
    </fill>
    <fill>
      <patternFill patternType="solid">
        <fgColor rgb="005CBDB4"/>
        <bgColor rgb="005CBDB4"/>
      </patternFill>
    </fill>
    <fill>
      <patternFill patternType="solid">
        <fgColor rgb="00FBF7D8"/>
        <bgColor rgb="00FBF7D8"/>
      </patternFill>
    </fill>
    <fill>
      <patternFill patternType="solid">
        <fgColor rgb="00FDF9EC"/>
        <bgColor rgb="00FDF9EC"/>
      </patternFill>
    </fill>
    <fill>
      <patternFill patternType="solid">
        <fgColor rgb="00A8E0D8"/>
        <bgColor rgb="00A8E0D8"/>
      </patternFill>
    </fill>
    <fill>
      <patternFill patternType="solid">
        <fgColor rgb="002B2D42"/>
        <bgColor rgb="002B2D42"/>
      </patternFill>
    </fill>
    <fill>
      <patternFill patternType="solid">
        <fgColor rgb="007A7C8E"/>
        <bgColor rgb="007A7C8E"/>
      </patternFill>
    </fill>
    <fill>
      <patternFill patternType="solid">
        <fgColor rgb="00E86D50"/>
        <bgColor rgb="00E86D50"/>
      </patternFill>
    </fill>
  </fills>
  <borders count="3">
    <border>
      <left/>
      <right/>
      <top/>
      <bottom/>
      <diagonal/>
    </border>
    <border>
      <bottom style="medium">
        <color rgb="0081D8D1"/>
      </bottom>
    </border>
    <border>
      <left style="thin">
        <color rgb="00D0C8BC"/>
      </left>
      <right style="thin">
        <color rgb="00D0C8BC"/>
      </right>
      <top style="thin">
        <color rgb="00D0C8BC"/>
      </top>
      <bottom style="thin">
        <color rgb="00D0C8B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center" wrapText="1"/>
    </xf>
    <xf numFmtId="167" fontId="5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center" vertical="center" wrapText="1"/>
    </xf>
    <xf numFmtId="3" fontId="11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0" borderId="2" applyAlignment="1" pivotButton="0" quotePrefix="0" xfId="0">
      <alignment horizontal="center" vertical="center" wrapText="1"/>
    </xf>
    <xf numFmtId="0" fontId="0" fillId="9" borderId="0" pivotButton="0" quotePrefix="0" xfId="0"/>
    <xf numFmtId="0" fontId="13" fillId="9" borderId="2" applyAlignment="1" pivotButton="0" quotePrefix="0" xfId="0">
      <alignment horizontal="center" vertical="center" wrapText="1"/>
    </xf>
    <xf numFmtId="9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color rgb="002E7D32"/>
      </font>
      <fill>
        <patternFill patternType="solid">
          <fgColor rgb="00E8F5E9"/>
          <bgColor rgb="00E8F5E9"/>
        </patternFill>
      </fill>
    </dxf>
    <dxf>
      <font>
        <color rgb="00C62828"/>
      </font>
      <fill>
        <patternFill patternType="solid">
          <fgColor rgb="00FFEBEE"/>
          <bgColor rgb="00FFEBEE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E65100"/>
      </font>
      <fill>
        <patternFill patternType="solid">
          <fgColor rgb="00FFF3E0"/>
          <bgColor rgb="00FFF3E0"/>
        </patternFill>
      </fill>
    </dxf>
    <dxf>
      <font>
        <b val="1"/>
        <color rgb="007B1FA2"/>
      </font>
      <fill>
        <patternFill patternType="solid">
          <fgColor rgb="00F3E5F5"/>
          <bgColor rgb="00F3E5F5"/>
        </patternFill>
      </fill>
    </dxf>
    <dxf>
      <font>
        <b val="1"/>
        <color rgb="00C62828"/>
      </font>
    </dxf>
    <dxf>
      <font>
        <b val="1"/>
        <color rgb="00E65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销售额 vs 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'图表'!B4</f>
            </strRef>
          </tx>
          <spPr>
            <a:solidFill xmlns:a="http://schemas.openxmlformats.org/drawingml/2006/main">
              <a:srgbClr val="81D8D1"/>
            </a:solidFill>
            <a:ln xmlns:a="http://schemas.openxmlformats.org/drawingml/2006/main">
              <a:prstDash val="solid"/>
            </a:ln>
          </spPr>
          <cat>
            <numRef>
              <f>'图表'!$A$5:$A$10</f>
            </numRef>
          </cat>
          <val>
            <numRef>
              <f>'图表'!$B$5:$B$10</f>
            </numRef>
          </val>
        </ser>
        <ser>
          <idx val="1"/>
          <order val="1"/>
          <tx>
            <strRef>
              <f>'图表'!C4</f>
            </strRef>
          </tx>
          <spPr>
            <a:solidFill xmlns:a="http://schemas.openxmlformats.org/drawingml/2006/main">
              <a:srgbClr val="7A7C8E"/>
            </a:solidFill>
            <a:ln xmlns:a="http://schemas.openxmlformats.org/drawingml/2006/main">
              <a:prstDash val="solid"/>
            </a:ln>
          </spPr>
          <cat>
            <numRef>
              <f>'图表'!$A$5:$A$10</f>
            </numRef>
          </cat>
          <val>
            <numRef>
              <f>'图表'!$C$5:$C$10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利润趋势</a:t>
            </a:r>
          </a:p>
        </rich>
      </tx>
    </title>
    <plotArea>
      <lineChart>
        <grouping val="standard"/>
        <ser>
          <idx val="0"/>
          <order val="0"/>
          <tx>
            <strRef>
              <f>'图表'!D4</f>
            </strRef>
          </tx>
          <spPr>
            <a:ln xmlns:a="http://schemas.openxmlformats.org/drawingml/2006/main" w="25000">
              <a:solidFill>
                <a:srgbClr val="5CBD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'图表'!$A$5:$A$10</f>
            </numRef>
          </cat>
          <val>
            <numRef>
              <f>'图表'!$D$5:$D$10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各月销售额占比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'图表'!B4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1D8D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CBDB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8E0D8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BF7D8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A7C8E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B2D42"/>
              </a:solidFill>
              <a:ln xmlns:a="http://schemas.openxmlformats.org/drawingml/2006/main">
                <a:prstDash val="solid"/>
              </a:ln>
            </spPr>
          </dPt>
          <cat>
            <numRef>
              <f>'图表'!$A$5:$A$10</f>
            </numRef>
          </cat>
          <val>
            <numRef>
              <f>'图表'!$B$5:$B$10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29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1D8D1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openpyxl 全功能展示</t>
        </is>
      </c>
    </row>
    <row r="2">
      <c r="A2" s="2" t="n"/>
    </row>
    <row r="4">
      <c r="A4" s="3" t="inlineStr">
        <is>
          <t>字号对比</t>
        </is>
      </c>
    </row>
    <row r="5">
      <c r="A5" s="4" t="inlineStr">
        <is>
          <t>效果</t>
        </is>
      </c>
      <c r="B5" s="4" t="inlineStr">
        <is>
          <t>字号</t>
        </is>
      </c>
      <c r="C5" s="4" t="inlineStr">
        <is>
          <t>加粗</t>
        </is>
      </c>
    </row>
    <row r="6">
      <c r="A6" s="5" t="inlineStr">
        <is>
          <t>20pt 大标题</t>
        </is>
      </c>
      <c r="B6" s="6" t="inlineStr">
        <is>
          <t>20pt</t>
        </is>
      </c>
      <c r="C6" s="6" t="inlineStr">
        <is>
          <t>是</t>
        </is>
      </c>
    </row>
    <row r="7">
      <c r="A7" s="7" t="inlineStr">
        <is>
          <t>16pt 章节标题</t>
        </is>
      </c>
      <c r="B7" s="6" t="inlineStr">
        <is>
          <t>16pt</t>
        </is>
      </c>
      <c r="C7" s="6" t="inlineStr">
        <is>
          <t>是</t>
        </is>
      </c>
    </row>
    <row r="8">
      <c r="A8" s="8" t="inlineStr">
        <is>
          <t>14pt 副标题</t>
        </is>
      </c>
      <c r="B8" s="6" t="inlineStr">
        <is>
          <t>14pt</t>
        </is>
      </c>
      <c r="C8" s="6" t="inlineStr">
        <is>
          <t>是</t>
        </is>
      </c>
    </row>
    <row r="9">
      <c r="A9" s="9" t="inlineStr">
        <is>
          <t>12pt 正文</t>
        </is>
      </c>
      <c r="B9" s="6" t="inlineStr">
        <is>
          <t>12pt</t>
        </is>
      </c>
      <c r="C9" s="6" t="inlineStr">
        <is>
          <t>否</t>
        </is>
      </c>
    </row>
    <row r="10">
      <c r="A10" s="10" t="inlineStr">
        <is>
          <t>10pt 小字</t>
        </is>
      </c>
      <c r="B10" s="6" t="inlineStr">
        <is>
          <t>10pt</t>
        </is>
      </c>
      <c r="C10" s="6" t="inlineStr">
        <is>
          <t>否</t>
        </is>
      </c>
    </row>
    <row r="11">
      <c r="A11" s="11" t="inlineStr">
        <is>
          <t>9pt 注释</t>
        </is>
      </c>
      <c r="B11" s="6" t="inlineStr">
        <is>
          <t>9pt</t>
        </is>
      </c>
      <c r="C11" s="6" t="inlineStr">
        <is>
          <t>否</t>
        </is>
      </c>
    </row>
    <row r="13">
      <c r="A13" s="3" t="inlineStr">
        <is>
          <t>颜色展示</t>
        </is>
      </c>
    </row>
    <row r="14">
      <c r="A14" s="4" t="inlineStr">
        <is>
          <t>色名</t>
        </is>
      </c>
      <c r="B14" s="4" t="inlineStr">
        <is>
          <t>色值</t>
        </is>
      </c>
      <c r="C14" s="4" t="inlineStr">
        <is>
          <t>用途</t>
        </is>
      </c>
      <c r="D14" s="4" t="inlineStr">
        <is>
          <t>预览</t>
        </is>
      </c>
    </row>
    <row r="15">
      <c r="A15" s="6" t="inlineStr">
        <is>
          <t>蒂芙尼蓝</t>
        </is>
      </c>
      <c r="B15" s="6" t="inlineStr">
        <is>
          <t>#81D8D1</t>
        </is>
      </c>
      <c r="C15" s="6" t="inlineStr">
        <is>
          <t>表头、主色</t>
        </is>
      </c>
      <c r="D15" s="12" t="inlineStr">
        <is>
          <t xml:space="preserve">  </t>
        </is>
      </c>
    </row>
    <row r="16">
      <c r="A16" s="6" t="inlineStr">
        <is>
          <t>深蒂蓝</t>
        </is>
      </c>
      <c r="B16" s="6" t="inlineStr">
        <is>
          <t>#5CBDB4</t>
        </is>
      </c>
      <c r="C16" s="6" t="inlineStr">
        <is>
          <t>深色装饰</t>
        </is>
      </c>
      <c r="D16" s="13" t="inlineStr">
        <is>
          <t xml:space="preserve">  </t>
        </is>
      </c>
    </row>
    <row r="17">
      <c r="A17" s="6" t="inlineStr">
        <is>
          <t>奶酪色</t>
        </is>
      </c>
      <c r="B17" s="6" t="inlineStr">
        <is>
          <t>#FBF7D8</t>
        </is>
      </c>
      <c r="C17" s="6" t="inlineStr">
        <is>
          <t>页面背景</t>
        </is>
      </c>
      <c r="D17" s="14" t="inlineStr">
        <is>
          <t xml:space="preserve">  </t>
        </is>
      </c>
    </row>
    <row r="18">
      <c r="A18" s="6" t="inlineStr">
        <is>
          <t>浅奶黄</t>
        </is>
      </c>
      <c r="B18" s="6" t="inlineStr">
        <is>
          <t>#FDF9EC</t>
        </is>
      </c>
      <c r="C18" s="6" t="inlineStr">
        <is>
          <t>交替行色</t>
        </is>
      </c>
      <c r="D18" s="15" t="inlineStr">
        <is>
          <t xml:space="preserve">  </t>
        </is>
      </c>
    </row>
    <row r="19">
      <c r="A19" s="6" t="inlineStr">
        <is>
          <t>薄荷绿</t>
        </is>
      </c>
      <c r="B19" s="6" t="inlineStr">
        <is>
          <t>#A8E0D8</t>
        </is>
      </c>
      <c r="C19" s="6" t="inlineStr">
        <is>
          <t>中间色</t>
        </is>
      </c>
      <c r="D19" s="16" t="inlineStr">
        <is>
          <t xml:space="preserve">  </t>
        </is>
      </c>
    </row>
    <row r="20">
      <c r="A20" s="6" t="inlineStr">
        <is>
          <t>深色文字</t>
        </is>
      </c>
      <c r="B20" s="6" t="inlineStr">
        <is>
          <t>#2B2D42</t>
        </is>
      </c>
      <c r="C20" s="6" t="inlineStr">
        <is>
          <t>正文</t>
        </is>
      </c>
      <c r="D20" s="17" t="inlineStr">
        <is>
          <t xml:space="preserve">  </t>
        </is>
      </c>
    </row>
    <row r="21">
      <c r="A21" s="6" t="inlineStr">
        <is>
          <t>灰色</t>
        </is>
      </c>
      <c r="B21" s="6" t="inlineStr">
        <is>
          <t>#7A7C8E</t>
        </is>
      </c>
      <c r="C21" s="6" t="inlineStr">
        <is>
          <t>次要信息</t>
        </is>
      </c>
      <c r="D21" s="18" t="inlineStr">
        <is>
          <t xml:space="preserve">  </t>
        </is>
      </c>
    </row>
    <row r="23">
      <c r="A23" s="3" t="inlineStr">
        <is>
          <t>对齐方式</t>
        </is>
      </c>
    </row>
    <row r="24">
      <c r="A24" s="4" t="inlineStr">
        <is>
          <t>效果</t>
        </is>
      </c>
      <c r="B24" s="4" t="inlineStr">
        <is>
          <t>对齐方式</t>
        </is>
      </c>
      <c r="C24" s="4" t="inlineStr">
        <is>
          <t>属性值</t>
        </is>
      </c>
    </row>
    <row r="25">
      <c r="A25" s="6" t="inlineStr">
        <is>
          <t>左对齐</t>
        </is>
      </c>
      <c r="B25" s="6" t="inlineStr">
        <is>
          <t>left</t>
        </is>
      </c>
      <c r="C25" s="19" t="inlineStr">
        <is>
          <t>Alignment(horizontal="left")</t>
        </is>
      </c>
    </row>
    <row r="26">
      <c r="A26" s="6" t="inlineStr">
        <is>
          <t>居中对齐</t>
        </is>
      </c>
      <c r="B26" s="6" t="inlineStr">
        <is>
          <t>center</t>
        </is>
      </c>
      <c r="C26" s="19" t="inlineStr">
        <is>
          <t>Alignment(horizontal="center")</t>
        </is>
      </c>
    </row>
    <row r="27">
      <c r="A27" s="6" t="inlineStr">
        <is>
          <t>右对齐</t>
        </is>
      </c>
      <c r="B27" s="6" t="inlineStr">
        <is>
          <t>right</t>
        </is>
      </c>
      <c r="C27" s="19" t="inlineStr">
        <is>
          <t>Alignment(horizontal="right")</t>
        </is>
      </c>
    </row>
    <row r="28">
      <c r="A28" s="6" t="inlineStr">
        <is>
          <t>两端对齐（自动换行）</t>
        </is>
      </c>
      <c r="B28" s="6" t="inlineStr">
        <is>
          <t>justify</t>
        </is>
      </c>
      <c r="C28" s="19" t="inlineStr">
        <is>
          <t>Alignment(horizontal="justify")</t>
        </is>
      </c>
    </row>
    <row r="30">
      <c r="A30" s="3" t="inlineStr">
        <is>
          <t>数字格式</t>
        </is>
      </c>
    </row>
    <row r="31">
      <c r="A31" s="4" t="inlineStr">
        <is>
          <t>原始值</t>
        </is>
      </c>
      <c r="B31" s="4" t="inlineStr">
        <is>
          <t>格式</t>
        </is>
      </c>
      <c r="C31" s="4" t="inlineStr">
        <is>
          <t>说明</t>
        </is>
      </c>
      <c r="D31" s="4" t="inlineStr">
        <is>
          <t>效果</t>
        </is>
      </c>
    </row>
    <row r="32">
      <c r="A32" s="6" t="inlineStr">
        <is>
          <t>3.14159</t>
        </is>
      </c>
      <c r="B32" s="6" t="inlineStr">
        <is>
          <t>0.00</t>
        </is>
      </c>
      <c r="C32" s="6" t="inlineStr">
        <is>
          <t>保留两位小数</t>
        </is>
      </c>
      <c r="D32" s="20" t="n">
        <v>3.14159</v>
      </c>
    </row>
    <row r="33">
      <c r="A33" s="6" t="inlineStr">
        <is>
          <t>12345.67</t>
        </is>
      </c>
      <c r="B33" s="6" t="inlineStr">
        <is>
          <t>#,##0.00</t>
        </is>
      </c>
      <c r="C33" s="6" t="inlineStr">
        <is>
          <t>千分位</t>
        </is>
      </c>
      <c r="D33" s="21" t="n">
        <v>12345.67</v>
      </c>
    </row>
    <row r="34">
      <c r="A34" s="6" t="inlineStr">
        <is>
          <t>0.856</t>
        </is>
      </c>
      <c r="B34" s="6" t="inlineStr">
        <is>
          <t>0.0%</t>
        </is>
      </c>
      <c r="C34" s="6" t="inlineStr">
        <is>
          <t>百分比</t>
        </is>
      </c>
      <c r="D34" s="22" t="n">
        <v>0.856</v>
      </c>
    </row>
    <row r="35">
      <c r="A35" s="6" t="inlineStr">
        <is>
          <t>168</t>
        </is>
      </c>
      <c r="B35" s="6" t="inlineStr">
        <is>
          <t>¥#,##0</t>
        </is>
      </c>
      <c r="C35" s="6" t="inlineStr">
        <is>
          <t>人民币</t>
        </is>
      </c>
      <c r="D35" s="23" t="n">
        <v>168</v>
      </c>
    </row>
    <row r="36">
      <c r="A36" s="6" t="inlineStr">
        <is>
          <t>2026-06-14</t>
        </is>
      </c>
      <c r="B36" s="6" t="inlineStr">
        <is>
          <t>YYYY-MM-DD</t>
        </is>
      </c>
      <c r="C36" s="6" t="inlineStr">
        <is>
          <t>日期</t>
        </is>
      </c>
      <c r="D36" s="24" t="inlineStr">
        <is>
          <t>2026-06-14</t>
        </is>
      </c>
    </row>
    <row r="37">
      <c r="A37" s="6" t="inlineStr">
        <is>
          <t>14:30:00</t>
        </is>
      </c>
      <c r="B37" s="6" t="inlineStr">
        <is>
          <t>HH:MM:SS</t>
        </is>
      </c>
      <c r="C37" s="6" t="inlineStr">
        <is>
          <t>时间</t>
        </is>
      </c>
      <c r="D37" s="25" t="inlineStr">
        <is>
          <t>14:30:00</t>
        </is>
      </c>
    </row>
  </sheetData>
  <mergeCells count="6">
    <mergeCell ref="A4:H4"/>
    <mergeCell ref="A30:H30"/>
    <mergeCell ref="A2:H2"/>
    <mergeCell ref="A13:H13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BDB4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表格与数据处理</t>
        </is>
      </c>
    </row>
    <row r="2">
      <c r="A2" s="2" t="n"/>
    </row>
    <row r="4">
      <c r="A4" s="3" t="inlineStr">
        <is>
          <t>销售数据表</t>
        </is>
      </c>
    </row>
    <row r="5">
      <c r="A5" s="4" t="inlineStr">
        <is>
          <t>月份</t>
        </is>
      </c>
      <c r="B5" s="4" t="inlineStr">
        <is>
          <t>产品A</t>
        </is>
      </c>
      <c r="C5" s="4" t="inlineStr">
        <is>
          <t>产品B</t>
        </is>
      </c>
      <c r="D5" s="4" t="inlineStr">
        <is>
          <t>产品C</t>
        </is>
      </c>
      <c r="E5" s="4" t="inlineStr">
        <is>
          <t>合计</t>
        </is>
      </c>
      <c r="F5" s="4" t="inlineStr">
        <is>
          <t>增长率</t>
        </is>
      </c>
    </row>
    <row r="6">
      <c r="A6" s="6" t="inlineStr">
        <is>
          <t>1月</t>
        </is>
      </c>
      <c r="B6" s="26" t="n">
        <v>12000</v>
      </c>
      <c r="C6" s="26" t="n">
        <v>8500</v>
      </c>
      <c r="D6" s="26" t="n">
        <v>6200</v>
      </c>
      <c r="E6" s="27">
        <f>SUM(B6:D6)</f>
        <v/>
      </c>
      <c r="F6" s="6" t="n"/>
    </row>
    <row r="7">
      <c r="A7" s="28" t="inlineStr">
        <is>
          <t>2月</t>
        </is>
      </c>
      <c r="B7" s="29" t="n">
        <v>15000</v>
      </c>
      <c r="C7" s="29" t="n">
        <v>9200</v>
      </c>
      <c r="D7" s="29" t="n">
        <v>7100</v>
      </c>
      <c r="E7" s="30">
        <f>SUM(B7:D7)</f>
        <v/>
      </c>
      <c r="F7" s="31">
        <f>(E7-E6)/E6</f>
        <v/>
      </c>
    </row>
    <row r="8">
      <c r="A8" s="6" t="inlineStr">
        <is>
          <t>3月</t>
        </is>
      </c>
      <c r="B8" s="26" t="n">
        <v>13500</v>
      </c>
      <c r="C8" s="26" t="n">
        <v>11000</v>
      </c>
      <c r="D8" s="26" t="n">
        <v>8300</v>
      </c>
      <c r="E8" s="27">
        <f>SUM(B8:D8)</f>
        <v/>
      </c>
      <c r="F8" s="22">
        <f>(E8-E7)/E7</f>
        <v/>
      </c>
    </row>
    <row r="9">
      <c r="A9" s="28" t="inlineStr">
        <is>
          <t>4月</t>
        </is>
      </c>
      <c r="B9" s="29" t="n">
        <v>18000</v>
      </c>
      <c r="C9" s="29" t="n">
        <v>10500</v>
      </c>
      <c r="D9" s="29" t="n">
        <v>9500</v>
      </c>
      <c r="E9" s="30">
        <f>SUM(B9:D9)</f>
        <v/>
      </c>
      <c r="F9" s="31">
        <f>(E9-E8)/E8</f>
        <v/>
      </c>
    </row>
    <row r="10">
      <c r="A10" s="6" t="inlineStr">
        <is>
          <t>5月</t>
        </is>
      </c>
      <c r="B10" s="26" t="n">
        <v>21000</v>
      </c>
      <c r="C10" s="26" t="n">
        <v>12800</v>
      </c>
      <c r="D10" s="26" t="n">
        <v>11200</v>
      </c>
      <c r="E10" s="27">
        <f>SUM(B10:D10)</f>
        <v/>
      </c>
      <c r="F10" s="22">
        <f>(E10-E9)/E9</f>
        <v/>
      </c>
    </row>
    <row r="11">
      <c r="A11" s="28" t="inlineStr">
        <is>
          <t>6月</t>
        </is>
      </c>
      <c r="B11" s="29" t="n">
        <v>19500</v>
      </c>
      <c r="C11" s="29" t="n">
        <v>14200</v>
      </c>
      <c r="D11" s="29" t="n">
        <v>10800</v>
      </c>
      <c r="E11" s="30">
        <f>SUM(B11:D11)</f>
        <v/>
      </c>
      <c r="F11" s="31">
        <f>(E11-E10)/E10</f>
        <v/>
      </c>
    </row>
    <row r="13">
      <c r="A13" s="3" t="inlineStr">
        <is>
          <t>条件格式（增长率着色）</t>
        </is>
      </c>
    </row>
    <row r="14">
      <c r="A14" s="32" t="inlineStr">
        <is>
          <t>增长率 &gt; 10% 标绿，&lt; 0% 标红</t>
        </is>
      </c>
    </row>
    <row r="17">
      <c r="A17" s="3" t="inlineStr">
        <is>
          <t>数据条（产品A销售额）</t>
        </is>
      </c>
    </row>
    <row r="20">
      <c r="A20" s="3" t="inlineStr">
        <is>
          <t>色阶（产品B销售额）</t>
        </is>
      </c>
    </row>
    <row r="23">
      <c r="A23" s="3" t="inlineStr">
        <is>
          <t>数据验证（下拉选择）</t>
        </is>
      </c>
    </row>
    <row r="24">
      <c r="A24" s="4" t="inlineStr">
        <is>
          <t>任务</t>
        </is>
      </c>
      <c r="B24" s="4" t="inlineStr">
        <is>
          <t>负责人</t>
        </is>
      </c>
      <c r="C24" s="4" t="inlineStr">
        <is>
          <t>状态</t>
        </is>
      </c>
    </row>
    <row r="25">
      <c r="A25" s="6" t="inlineStr">
        <is>
          <t>需求评审</t>
        </is>
      </c>
      <c r="B25" s="6" t="inlineStr">
        <is>
          <t>张三</t>
        </is>
      </c>
      <c r="C25" s="6" t="inlineStr">
        <is>
          <t>已完成</t>
        </is>
      </c>
    </row>
    <row r="26">
      <c r="A26" s="6" t="inlineStr">
        <is>
          <t>UI设计</t>
        </is>
      </c>
      <c r="B26" s="6" t="inlineStr">
        <is>
          <t>李四</t>
        </is>
      </c>
      <c r="C26" s="6" t="inlineStr">
        <is>
          <t>进行中</t>
        </is>
      </c>
    </row>
    <row r="27">
      <c r="A27" s="6" t="inlineStr">
        <is>
          <t>后端开发</t>
        </is>
      </c>
      <c r="B27" s="6" t="inlineStr">
        <is>
          <t>王五</t>
        </is>
      </c>
      <c r="C27" s="6" t="inlineStr">
        <is>
          <t>待处理</t>
        </is>
      </c>
    </row>
    <row r="28">
      <c r="A28" s="6" t="inlineStr">
        <is>
          <t>测试验收</t>
        </is>
      </c>
      <c r="B28" s="6" t="inlineStr">
        <is>
          <t>赵六</t>
        </is>
      </c>
      <c r="C28" s="6" t="inlineStr">
        <is>
          <t>待处理</t>
        </is>
      </c>
    </row>
  </sheetData>
  <mergeCells count="8">
    <mergeCell ref="A4:H4"/>
    <mergeCell ref="A14:F14"/>
    <mergeCell ref="A20:H20"/>
    <mergeCell ref="A2:H2"/>
    <mergeCell ref="A13:H13"/>
    <mergeCell ref="A1:H1"/>
    <mergeCell ref="A23:H23"/>
    <mergeCell ref="A17:H17"/>
  </mergeCells>
  <conditionalFormatting sqref="F7:F12">
    <cfRule type="cellIs" priority="1" operator="greaterThan" dxfId="0">
      <formula>0.1</formula>
    </cfRule>
    <cfRule type="cellIs" priority="2" operator="lessThan" dxfId="1">
      <formula>0</formula>
    </cfRule>
  </conditionalFormatting>
  <conditionalFormatting sqref="B7:B12">
    <cfRule type="dataBar" priority="3">
      <dataBar>
        <cfvo type="min"/>
        <cfvo type="max"/>
        <color rgb="0081D8D1"/>
      </dataBar>
    </cfRule>
  </conditionalFormatting>
  <conditionalFormatting sqref="C7:C12">
    <cfRule type="colorScale" priority="4">
      <colorScale>
        <cfvo type="min"/>
        <cfvo type="percentile" val="50"/>
        <cfvo type="max"/>
        <color rgb="00FDF9EC"/>
        <color rgb="00A8E0D8"/>
        <color rgb="0081D8D1"/>
      </colorScale>
    </cfRule>
  </conditionalFormatting>
  <dataValidations count="1">
    <dataValidation sqref="C25 C26 C27 C28" showDropDown="0" showInputMessage="0" showErrorMessage="0" allowBlank="1" errorTitle="输入错误" error="请从下拉列表中选择" promptTitle="状态" prompt="选择状态" type="list">
      <formula1>"待处理,进行中,已完成"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E0D8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图表展示</t>
        </is>
      </c>
    </row>
    <row r="2">
      <c r="A2" s="2" t="n"/>
    </row>
    <row r="4">
      <c r="A4" s="4" t="inlineStr">
        <is>
          <t>月份</t>
        </is>
      </c>
      <c r="B4" s="4" t="inlineStr">
        <is>
          <t>销售额</t>
        </is>
      </c>
      <c r="C4" s="4" t="inlineStr">
        <is>
          <t>成本</t>
        </is>
      </c>
      <c r="D4" s="4" t="inlineStr">
        <is>
          <t>利润</t>
        </is>
      </c>
    </row>
    <row r="5">
      <c r="A5" s="6" t="inlineStr">
        <is>
          <t>1月</t>
        </is>
      </c>
      <c r="B5" s="26" t="n">
        <v>12000</v>
      </c>
      <c r="C5" s="26" t="n">
        <v>7200</v>
      </c>
      <c r="D5" s="26" t="n">
        <v>4800</v>
      </c>
    </row>
    <row r="6">
      <c r="A6" s="6" t="inlineStr">
        <is>
          <t>2月</t>
        </is>
      </c>
      <c r="B6" s="26" t="n">
        <v>15000</v>
      </c>
      <c r="C6" s="26" t="n">
        <v>8500</v>
      </c>
      <c r="D6" s="26" t="n">
        <v>6500</v>
      </c>
    </row>
    <row r="7">
      <c r="A7" s="6" t="inlineStr">
        <is>
          <t>3月</t>
        </is>
      </c>
      <c r="B7" s="26" t="n">
        <v>13500</v>
      </c>
      <c r="C7" s="26" t="n">
        <v>7800</v>
      </c>
      <c r="D7" s="26" t="n">
        <v>5700</v>
      </c>
    </row>
    <row r="8">
      <c r="A8" s="6" t="inlineStr">
        <is>
          <t>4月</t>
        </is>
      </c>
      <c r="B8" s="26" t="n">
        <v>18000</v>
      </c>
      <c r="C8" s="26" t="n">
        <v>9800</v>
      </c>
      <c r="D8" s="26" t="n">
        <v>8200</v>
      </c>
    </row>
    <row r="9">
      <c r="A9" s="6" t="inlineStr">
        <is>
          <t>5月</t>
        </is>
      </c>
      <c r="B9" s="26" t="n">
        <v>21000</v>
      </c>
      <c r="C9" s="26" t="n">
        <v>11000</v>
      </c>
      <c r="D9" s="26" t="n">
        <v>10000</v>
      </c>
    </row>
    <row r="10">
      <c r="A10" s="6" t="inlineStr">
        <is>
          <t>6月</t>
        </is>
      </c>
      <c r="B10" s="26" t="n">
        <v>19500</v>
      </c>
      <c r="C10" s="26" t="n">
        <v>10200</v>
      </c>
      <c r="D10" s="26" t="n">
        <v>9300</v>
      </c>
    </row>
    <row r="12">
      <c r="A12" s="3" t="inlineStr">
        <is>
          <t>柱状图：销售额 vs 成本</t>
        </is>
      </c>
    </row>
    <row r="28">
      <c r="A28" s="3" t="inlineStr">
        <is>
          <t>折线图：利润趋势</t>
        </is>
      </c>
    </row>
    <row r="29">
      <c r="A29" s="3" t="inlineStr">
        <is>
          <t>饼图：各月销售额占比</t>
        </is>
      </c>
    </row>
  </sheetData>
  <mergeCells count="5">
    <mergeCell ref="A12:H12"/>
    <mergeCell ref="A29:H29"/>
    <mergeCell ref="A2:H2"/>
    <mergeCell ref="A28:H2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CBDB4"/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高级功能</t>
        </is>
      </c>
    </row>
    <row r="2">
      <c r="A2" s="2" t="n"/>
    </row>
    <row r="4">
      <c r="A4" s="3" t="inlineStr">
        <is>
          <t>冻结窗格（向下滚动时表头固定）</t>
        </is>
      </c>
    </row>
    <row r="5">
      <c r="A5" s="4" t="inlineStr">
        <is>
          <t>姓名</t>
        </is>
      </c>
      <c r="B5" s="4" t="inlineStr">
        <is>
          <t>部门</t>
        </is>
      </c>
      <c r="C5" s="4" t="inlineStr">
        <is>
          <t>职位</t>
        </is>
      </c>
      <c r="D5" s="4" t="inlineStr">
        <is>
          <t>工资</t>
        </is>
      </c>
      <c r="E5" s="4" t="inlineStr">
        <is>
          <t>绩效</t>
        </is>
      </c>
      <c r="F5" s="4" t="inlineStr">
        <is>
          <t>奖金</t>
        </is>
      </c>
    </row>
    <row r="6">
      <c r="A6" s="6" t="inlineStr">
        <is>
          <t>张三</t>
        </is>
      </c>
      <c r="B6" s="6" t="inlineStr">
        <is>
          <t>技术部</t>
        </is>
      </c>
      <c r="C6" s="6" t="inlineStr">
        <is>
          <t>高级工程师</t>
        </is>
      </c>
      <c r="D6" s="23" t="n">
        <v>25000</v>
      </c>
      <c r="E6" s="6" t="inlineStr">
        <is>
          <t>A</t>
        </is>
      </c>
      <c r="F6" s="23" t="n">
        <v>5000</v>
      </c>
    </row>
    <row r="7">
      <c r="A7" s="6" t="inlineStr">
        <is>
          <t>李四</t>
        </is>
      </c>
      <c r="B7" s="6" t="inlineStr">
        <is>
          <t>产品部</t>
        </is>
      </c>
      <c r="C7" s="6" t="inlineStr">
        <is>
          <t>产品经理</t>
        </is>
      </c>
      <c r="D7" s="23" t="n">
        <v>22000</v>
      </c>
      <c r="E7" s="6" t="inlineStr">
        <is>
          <t>B+</t>
        </is>
      </c>
      <c r="F7" s="23" t="n">
        <v>3000</v>
      </c>
    </row>
    <row r="8">
      <c r="A8" s="6" t="inlineStr">
        <is>
          <t>王五</t>
        </is>
      </c>
      <c r="B8" s="6" t="inlineStr">
        <is>
          <t>设计部</t>
        </is>
      </c>
      <c r="C8" s="6" t="inlineStr">
        <is>
          <t>UI设计师</t>
        </is>
      </c>
      <c r="D8" s="23" t="n">
        <v>18000</v>
      </c>
      <c r="E8" s="6" t="inlineStr">
        <is>
          <t>A</t>
        </is>
      </c>
      <c r="F8" s="23" t="n">
        <v>4000</v>
      </c>
    </row>
    <row r="9">
      <c r="A9" s="6" t="inlineStr">
        <is>
          <t>赵六</t>
        </is>
      </c>
      <c r="B9" s="6" t="inlineStr">
        <is>
          <t>数据部</t>
        </is>
      </c>
      <c r="C9" s="6" t="inlineStr">
        <is>
          <t>数据分析师</t>
        </is>
      </c>
      <c r="D9" s="23" t="n">
        <v>20000</v>
      </c>
      <c r="E9" s="6" t="inlineStr">
        <is>
          <t>B</t>
        </is>
      </c>
      <c r="F9" s="23" t="n">
        <v>2000</v>
      </c>
    </row>
    <row r="10">
      <c r="A10" s="6" t="inlineStr">
        <is>
          <t>孙七</t>
        </is>
      </c>
      <c r="B10" s="6" t="inlineStr">
        <is>
          <t>技术部</t>
        </is>
      </c>
      <c r="C10" s="6" t="inlineStr">
        <is>
          <t>前端开发</t>
        </is>
      </c>
      <c r="D10" s="23" t="n">
        <v>19000</v>
      </c>
      <c r="E10" s="6" t="inlineStr">
        <is>
          <t>A-</t>
        </is>
      </c>
      <c r="F10" s="23" t="n">
        <v>3500</v>
      </c>
    </row>
    <row r="11">
      <c r="A11" s="6" t="inlineStr">
        <is>
          <t>周八</t>
        </is>
      </c>
      <c r="B11" s="6" t="inlineStr">
        <is>
          <t>运维部</t>
        </is>
      </c>
      <c r="C11" s="6" t="inlineStr">
        <is>
          <t>运维工程师</t>
        </is>
      </c>
      <c r="D11" s="23" t="n">
        <v>17000</v>
      </c>
      <c r="E11" s="6" t="inlineStr">
        <is>
          <t>B+</t>
        </is>
      </c>
      <c r="F11" s="23" t="n">
        <v>2500</v>
      </c>
    </row>
    <row r="12">
      <c r="A12" s="6" t="inlineStr">
        <is>
          <t>吴九</t>
        </is>
      </c>
      <c r="B12" s="6" t="inlineStr">
        <is>
          <t>市场部</t>
        </is>
      </c>
      <c r="C12" s="6" t="inlineStr">
        <is>
          <t>市场专员</t>
        </is>
      </c>
      <c r="D12" s="23" t="n">
        <v>15000</v>
      </c>
      <c r="E12" s="6" t="inlineStr">
        <is>
          <t>C</t>
        </is>
      </c>
      <c r="F12" s="23" t="n">
        <v>1000</v>
      </c>
    </row>
    <row r="13">
      <c r="A13" s="6" t="inlineStr">
        <is>
          <t>郑十</t>
        </is>
      </c>
      <c r="B13" s="6" t="inlineStr">
        <is>
          <t>财务部</t>
        </is>
      </c>
      <c r="C13" s="6" t="inlineStr">
        <is>
          <t>财务主管</t>
        </is>
      </c>
      <c r="D13" s="23" t="n">
        <v>23000</v>
      </c>
      <c r="E13" s="6" t="inlineStr">
        <is>
          <t>A</t>
        </is>
      </c>
      <c r="F13" s="23" t="n">
        <v>6000</v>
      </c>
    </row>
    <row r="14">
      <c r="A14" s="6" t="inlineStr">
        <is>
          <t>陈一</t>
        </is>
      </c>
      <c r="B14" s="6" t="inlineStr">
        <is>
          <t>技术部</t>
        </is>
      </c>
      <c r="C14" s="6" t="inlineStr">
        <is>
          <t>架构师</t>
        </is>
      </c>
      <c r="D14" s="23" t="n">
        <v>30000</v>
      </c>
      <c r="E14" s="6" t="inlineStr">
        <is>
          <t>S</t>
        </is>
      </c>
      <c r="F14" s="23" t="n">
        <v>10000</v>
      </c>
    </row>
    <row r="15">
      <c r="A15" s="6" t="inlineStr">
        <is>
          <t>林二</t>
        </is>
      </c>
      <c r="B15" s="6" t="inlineStr">
        <is>
          <t>产品部</t>
        </is>
      </c>
      <c r="C15" s="6" t="inlineStr">
        <is>
          <t>产品总监</t>
        </is>
      </c>
      <c r="D15" s="23" t="n">
        <v>28000</v>
      </c>
      <c r="E15" s="6" t="inlineStr">
        <is>
          <t>A+</t>
        </is>
      </c>
      <c r="F15" s="23" t="n">
        <v>8000</v>
      </c>
    </row>
    <row r="17">
      <c r="A17" s="3" t="inlineStr">
        <is>
          <t>自动筛选（表头添加筛选箭头）</t>
        </is>
      </c>
    </row>
    <row r="20">
      <c r="A20" s="3" t="inlineStr">
        <is>
          <t>打印设置</t>
        </is>
      </c>
    </row>
    <row r="21">
      <c r="A21" s="32" t="inlineStr">
        <is>
          <t>横向打印 | A4纸 | 左右0.6英寸 | 重复前5行</t>
        </is>
      </c>
    </row>
    <row r="24">
      <c r="A24" s="3" t="inlineStr">
        <is>
          <t>常用公式示例</t>
        </is>
      </c>
    </row>
    <row r="25">
      <c r="A25" s="4" t="inlineStr">
        <is>
          <t>公式名</t>
        </is>
      </c>
      <c r="B25" s="4" t="inlineStr">
        <is>
          <t>公式</t>
        </is>
      </c>
      <c r="C25" s="4" t="inlineStr">
        <is>
          <t>说明</t>
        </is>
      </c>
    </row>
    <row r="26">
      <c r="A26" s="6" t="inlineStr">
        <is>
          <t>求和</t>
        </is>
      </c>
      <c r="B26" s="33">
        <f>SUM(B2:B10)</f>
        <v/>
      </c>
      <c r="C26" s="6" t="inlineStr">
        <is>
          <t>计算区域总和</t>
        </is>
      </c>
    </row>
    <row r="27">
      <c r="A27" s="6" t="inlineStr">
        <is>
          <t>平均值</t>
        </is>
      </c>
      <c r="B27" s="33">
        <f>AVERAGE(B2:B10)</f>
        <v/>
      </c>
      <c r="C27" s="6" t="inlineStr">
        <is>
          <t>计算平均值</t>
        </is>
      </c>
    </row>
    <row r="28">
      <c r="A28" s="6" t="inlineStr">
        <is>
          <t>最大值</t>
        </is>
      </c>
      <c r="B28" s="33">
        <f>MAX(B2:B10)</f>
        <v/>
      </c>
      <c r="C28" s="6" t="inlineStr">
        <is>
          <t>取最大值</t>
        </is>
      </c>
    </row>
    <row r="29">
      <c r="A29" s="6" t="inlineStr">
        <is>
          <t>计数</t>
        </is>
      </c>
      <c r="B29" s="33">
        <f>COUNT(B2:B10)</f>
        <v/>
      </c>
      <c r="C29" s="6" t="inlineStr">
        <is>
          <t>统计数字个数</t>
        </is>
      </c>
    </row>
    <row r="30">
      <c r="A30" s="6" t="inlineStr">
        <is>
          <t>条件计数</t>
        </is>
      </c>
      <c r="B30" s="33">
        <f>COUNTIF(B2:B10,"&gt;20000")</f>
        <v/>
      </c>
      <c r="C30" s="6" t="inlineStr">
        <is>
          <t>按条件统计</t>
        </is>
      </c>
    </row>
    <row r="31">
      <c r="A31" s="6" t="inlineStr">
        <is>
          <t>查找</t>
        </is>
      </c>
      <c r="B31" s="33">
        <f>VLOOKUP("张三",A2:F10,4,FALSE)</f>
        <v/>
      </c>
      <c r="C31" s="6" t="inlineStr">
        <is>
          <t>按行查找</t>
        </is>
      </c>
    </row>
    <row r="32">
      <c r="A32" s="6" t="inlineStr">
        <is>
          <t>条件求和</t>
        </is>
      </c>
      <c r="B32" s="33">
        <f>SUMIF(C2:C10,"技术部",D2:D10)</f>
        <v/>
      </c>
      <c r="C32" s="6" t="inlineStr">
        <is>
          <t>按条件求和</t>
        </is>
      </c>
    </row>
  </sheetData>
  <autoFilter ref="A5:F15"/>
  <mergeCells count="7">
    <mergeCell ref="A4:H4"/>
    <mergeCell ref="A20:H20"/>
    <mergeCell ref="A24:H24"/>
    <mergeCell ref="A2:H2"/>
    <mergeCell ref="A1:H1"/>
    <mergeCell ref="A21:F21"/>
    <mergeCell ref="A17:H17"/>
  </mergeCells>
  <pageMargins left="0.6" right="0.6" top="0.8" bottom="0.8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E86D50"/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项目进度追踪</t>
        </is>
      </c>
    </row>
    <row r="2">
      <c r="A2" s="34" t="n"/>
    </row>
    <row r="4">
      <c r="A4" s="35" t="inlineStr">
        <is>
          <t>任务</t>
        </is>
      </c>
      <c r="B4" s="35" t="inlineStr">
        <is>
          <t>负责人</t>
        </is>
      </c>
      <c r="C4" s="35" t="inlineStr">
        <is>
          <t>开始日期</t>
        </is>
      </c>
      <c r="D4" s="35" t="inlineStr">
        <is>
          <t>截止日期</t>
        </is>
      </c>
      <c r="E4" s="35" t="inlineStr">
        <is>
          <t>进度</t>
        </is>
      </c>
      <c r="F4" s="35" t="inlineStr">
        <is>
          <t>状态</t>
        </is>
      </c>
      <c r="G4" s="35" t="inlineStr">
        <is>
          <t>优先级</t>
        </is>
      </c>
      <c r="H4" s="35" t="inlineStr">
        <is>
          <t>备注</t>
        </is>
      </c>
    </row>
    <row r="5">
      <c r="A5" s="6" t="inlineStr">
        <is>
          <t>需求分析</t>
        </is>
      </c>
      <c r="B5" s="6" t="inlineStr">
        <is>
          <t>张三</t>
        </is>
      </c>
      <c r="C5" s="6" t="inlineStr">
        <is>
          <t>2026-06-01</t>
        </is>
      </c>
      <c r="D5" s="6" t="inlineStr">
        <is>
          <t>2026-06-07</t>
        </is>
      </c>
      <c r="E5" s="36" t="n">
        <v>1</v>
      </c>
      <c r="F5" s="6" t="inlineStr">
        <is>
          <t>已完成</t>
        </is>
      </c>
      <c r="G5" s="6" t="inlineStr">
        <is>
          <t>P0</t>
        </is>
      </c>
      <c r="H5" s="6" t="inlineStr">
        <is>
          <t>已评审</t>
        </is>
      </c>
    </row>
    <row r="6">
      <c r="A6" s="6" t="inlineStr">
        <is>
          <t>UI设计</t>
        </is>
      </c>
      <c r="B6" s="6" t="inlineStr">
        <is>
          <t>李四</t>
        </is>
      </c>
      <c r="C6" s="6" t="inlineStr">
        <is>
          <t>2026-06-05</t>
        </is>
      </c>
      <c r="D6" s="6" t="inlineStr">
        <is>
          <t>2026-06-14</t>
        </is>
      </c>
      <c r="E6" s="36" t="n">
        <v>0.8</v>
      </c>
      <c r="F6" s="6" t="inlineStr">
        <is>
          <t>进行中</t>
        </is>
      </c>
      <c r="G6" s="6" t="inlineStr">
        <is>
          <t>P1</t>
        </is>
      </c>
      <c r="H6" s="6" t="inlineStr">
        <is>
          <t>设计稿审核中</t>
        </is>
      </c>
    </row>
    <row r="7">
      <c r="A7" s="6" t="inlineStr">
        <is>
          <t>数据库设计</t>
        </is>
      </c>
      <c r="B7" s="6" t="inlineStr">
        <is>
          <t>王五</t>
        </is>
      </c>
      <c r="C7" s="6" t="inlineStr">
        <is>
          <t>2026-06-08</t>
        </is>
      </c>
      <c r="D7" s="6" t="inlineStr">
        <is>
          <t>2026-06-12</t>
        </is>
      </c>
      <c r="E7" s="36" t="n">
        <v>1</v>
      </c>
      <c r="F7" s="6" t="inlineStr">
        <is>
          <t>已完成</t>
        </is>
      </c>
      <c r="G7" s="6" t="inlineStr">
        <is>
          <t>P0</t>
        </is>
      </c>
      <c r="H7" s="6" t="inlineStr"/>
    </row>
    <row r="8">
      <c r="A8" s="6" t="inlineStr">
        <is>
          <t>后端开发</t>
        </is>
      </c>
      <c r="B8" s="6" t="inlineStr">
        <is>
          <t>张三</t>
        </is>
      </c>
      <c r="C8" s="6" t="inlineStr">
        <is>
          <t>2026-06-10</t>
        </is>
      </c>
      <c r="D8" s="6" t="inlineStr">
        <is>
          <t>2026-06-25</t>
        </is>
      </c>
      <c r="E8" s="36" t="n">
        <v>0.45</v>
      </c>
      <c r="F8" s="6" t="inlineStr">
        <is>
          <t>进行中</t>
        </is>
      </c>
      <c r="G8" s="6" t="inlineStr">
        <is>
          <t>P0</t>
        </is>
      </c>
      <c r="H8" s="6" t="inlineStr">
        <is>
          <t>核心模块开发中</t>
        </is>
      </c>
    </row>
    <row r="9">
      <c r="A9" s="6" t="inlineStr">
        <is>
          <t>前端开发</t>
        </is>
      </c>
      <c r="B9" s="6" t="inlineStr">
        <is>
          <t>赵六</t>
        </is>
      </c>
      <c r="C9" s="6" t="inlineStr">
        <is>
          <t>2026-06-12</t>
        </is>
      </c>
      <c r="D9" s="6" t="inlineStr">
        <is>
          <t>2026-06-28</t>
        </is>
      </c>
      <c r="E9" s="36" t="n">
        <v>0.2</v>
      </c>
      <c r="F9" s="6" t="inlineStr">
        <is>
          <t>进行中</t>
        </is>
      </c>
      <c r="G9" s="6" t="inlineStr">
        <is>
          <t>P1</t>
        </is>
      </c>
      <c r="H9" s="6" t="inlineStr"/>
    </row>
    <row r="10">
      <c r="A10" s="6" t="inlineStr">
        <is>
          <t>接口联调</t>
        </is>
      </c>
      <c r="B10" s="6" t="inlineStr">
        <is>
          <t>张三/赵六</t>
        </is>
      </c>
      <c r="C10" s="6" t="inlineStr">
        <is>
          <t>2026-06-22</t>
        </is>
      </c>
      <c r="D10" s="6" t="inlineStr">
        <is>
          <t>2026-06-30</t>
        </is>
      </c>
      <c r="E10" s="36" t="n">
        <v>0</v>
      </c>
      <c r="F10" s="6" t="inlineStr">
        <is>
          <t>未开始</t>
        </is>
      </c>
      <c r="G10" s="6" t="inlineStr">
        <is>
          <t>P0</t>
        </is>
      </c>
      <c r="H10" s="6" t="inlineStr"/>
    </row>
    <row r="11">
      <c r="A11" s="6" t="inlineStr">
        <is>
          <t>测试</t>
        </is>
      </c>
      <c r="B11" s="6" t="inlineStr">
        <is>
          <t>孙七</t>
        </is>
      </c>
      <c r="C11" s="6" t="inlineStr">
        <is>
          <t>2026-06-28</t>
        </is>
      </c>
      <c r="D11" s="6" t="inlineStr">
        <is>
          <t>2026-07-05</t>
        </is>
      </c>
      <c r="E11" s="36" t="n">
        <v>0</v>
      </c>
      <c r="F11" s="6" t="inlineStr">
        <is>
          <t>未开始</t>
        </is>
      </c>
      <c r="G11" s="6" t="inlineStr">
        <is>
          <t>P1</t>
        </is>
      </c>
      <c r="H11" s="6" t="inlineStr"/>
    </row>
    <row r="12">
      <c r="A12" s="6" t="inlineStr">
        <is>
          <t>上线部署</t>
        </is>
      </c>
      <c r="B12" s="6" t="inlineStr">
        <is>
          <t>周八</t>
        </is>
      </c>
      <c r="C12" s="6" t="inlineStr">
        <is>
          <t>2026-07-05</t>
        </is>
      </c>
      <c r="D12" s="6" t="inlineStr">
        <is>
          <t>2026-07-08</t>
        </is>
      </c>
      <c r="E12" s="36" t="n">
        <v>0</v>
      </c>
      <c r="F12" s="6" t="inlineStr">
        <is>
          <t>未开始</t>
        </is>
      </c>
      <c r="G12" s="6" t="inlineStr">
        <is>
          <t>P0</t>
        </is>
      </c>
      <c r="H12" s="6" t="inlineStr">
        <is>
          <t>灰度发布</t>
        </is>
      </c>
    </row>
  </sheetData>
  <mergeCells count="2">
    <mergeCell ref="A1:I1"/>
    <mergeCell ref="A2:I2"/>
  </mergeCells>
  <conditionalFormatting sqref="F5:F12">
    <cfRule type="cellIs" priority="1" operator="equal" dxfId="2">
      <formula>"已完成"</formula>
    </cfRule>
    <cfRule type="cellIs" priority="2" operator="equal" dxfId="3">
      <formula>"进行中"</formula>
    </cfRule>
    <cfRule type="cellIs" priority="3" operator="equal" dxfId="4">
      <formula>"未开始"</formula>
    </cfRule>
  </conditionalFormatting>
  <conditionalFormatting sqref="E5:E12">
    <cfRule type="dataBar" priority="4">
      <dataBar>
        <cfvo type="num" val="0"/>
        <cfvo type="num" val="1"/>
        <color rgb="0081D8D1"/>
      </dataBar>
    </cfRule>
  </conditionalFormatting>
  <conditionalFormatting sqref="G5:G12">
    <cfRule type="cellIs" priority="5" operator="equal" dxfId="5">
      <formula>"P0"</formula>
    </cfRule>
    <cfRule type="cellIs" priority="6" operator="equal" dxfId="6">
      <formula>"P1"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2026-06-14T02:52:15Z</dcterms:created>
  <dcterms:modified xmlns:dcterms="http://purl.org/dc/terms/" xmlns:xsi="http://www.w3.org/2001/XMLSchema-instance" xsi:type="dcterms:W3CDTF">2026-06-14T02:52:15Z</dcterms:modified>
</cp:coreProperties>
</file>