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charm\Person-Practice\Excel\"/>
    </mc:Choice>
  </mc:AlternateContent>
  <xr:revisionPtr revIDLastSave="0" documentId="8_{D4831E4F-7839-4040-AB1C-6B88D0B72C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月份透视" sheetId="9" r:id="rId1"/>
    <sheet name="产品透视" sheetId="8" r:id="rId2"/>
    <sheet name="按部门透视" sheetId="7" r:id="rId3"/>
    <sheet name="透视数据" sheetId="6" r:id="rId4"/>
    <sheet name="文字格式" sheetId="1" r:id="rId5"/>
    <sheet name="表格" sheetId="2" r:id="rId6"/>
    <sheet name="图表" sheetId="3" r:id="rId7"/>
    <sheet name="高级功能" sheetId="4" r:id="rId8"/>
    <sheet name="项目进度" sheetId="5" r:id="rId9"/>
  </sheets>
  <definedNames>
    <definedName name="_xlnm._FilterDatabase" localSheetId="7" hidden="1">高级功能!$A$5:$F$15</definedName>
    <definedName name="_xlnm.Print_Titles" localSheetId="7">高级功能!$1:$5</definedName>
  </definedNames>
  <calcPr calcId="191029"/>
  <pivotCaches>
    <pivotCache cacheId="2" r:id="rId10"/>
    <pivotCache cacheId="5" r:id="rId11"/>
    <pivotCache cacheId="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" l="1"/>
  <c r="B31" i="4"/>
  <c r="B30" i="4"/>
  <c r="B29" i="4"/>
  <c r="B28" i="4"/>
  <c r="B27" i="4"/>
  <c r="B26" i="4"/>
  <c r="E11" i="2"/>
  <c r="F11" i="2" s="1"/>
  <c r="E10" i="2"/>
  <c r="F10" i="2" s="1"/>
  <c r="E9" i="2"/>
  <c r="F9" i="2" s="1"/>
  <c r="F8" i="2"/>
  <c r="E8" i="2"/>
  <c r="E7" i="2"/>
  <c r="F7" i="2" s="1"/>
  <c r="E6" i="2"/>
</calcChain>
</file>

<file path=xl/sharedStrings.xml><?xml version="1.0" encoding="utf-8"?>
<sst xmlns="http://schemas.openxmlformats.org/spreadsheetml/2006/main" count="364" uniqueCount="234">
  <si>
    <t>openpyxl 全功能展示</t>
  </si>
  <si>
    <t>字号对比</t>
  </si>
  <si>
    <t>效果</t>
  </si>
  <si>
    <t>字号</t>
  </si>
  <si>
    <t>加粗</t>
  </si>
  <si>
    <t>20pt 大标题</t>
  </si>
  <si>
    <t>20pt</t>
  </si>
  <si>
    <t>是</t>
  </si>
  <si>
    <t>16pt 章节标题</t>
  </si>
  <si>
    <t>16pt</t>
  </si>
  <si>
    <t>14pt 副标题</t>
  </si>
  <si>
    <t>14pt</t>
  </si>
  <si>
    <t>12pt 正文</t>
  </si>
  <si>
    <t>12pt</t>
  </si>
  <si>
    <t>否</t>
  </si>
  <si>
    <t>10pt 小字</t>
  </si>
  <si>
    <t>10pt</t>
  </si>
  <si>
    <t>9pt 注释</t>
  </si>
  <si>
    <t>9pt</t>
  </si>
  <si>
    <t>颜色展示</t>
  </si>
  <si>
    <t>色名</t>
  </si>
  <si>
    <t>色值</t>
  </si>
  <si>
    <t>用途</t>
  </si>
  <si>
    <t>预览</t>
  </si>
  <si>
    <t>蒂芙尼蓝</t>
  </si>
  <si>
    <t>#81D8D1</t>
  </si>
  <si>
    <t>表头、主色</t>
  </si>
  <si>
    <t xml:space="preserve">  </t>
  </si>
  <si>
    <t>深蒂蓝</t>
  </si>
  <si>
    <t>#5CBDB4</t>
  </si>
  <si>
    <t>深色装饰</t>
  </si>
  <si>
    <t>奶酪色</t>
  </si>
  <si>
    <t>#FBF7D8</t>
  </si>
  <si>
    <t>页面背景</t>
  </si>
  <si>
    <t>浅奶黄</t>
  </si>
  <si>
    <t>#FDF9EC</t>
  </si>
  <si>
    <t>交替行色</t>
  </si>
  <si>
    <t>薄荷绿</t>
  </si>
  <si>
    <t>#A8E0D8</t>
  </si>
  <si>
    <t>中间色</t>
  </si>
  <si>
    <t>深色文字</t>
  </si>
  <si>
    <t>#2B2D42</t>
  </si>
  <si>
    <t>正文</t>
  </si>
  <si>
    <t>灰色</t>
  </si>
  <si>
    <t>#7A7C8E</t>
  </si>
  <si>
    <t>次要信息</t>
  </si>
  <si>
    <t>对齐方式</t>
  </si>
  <si>
    <t>属性值</t>
  </si>
  <si>
    <t>左对齐</t>
  </si>
  <si>
    <t>left</t>
  </si>
  <si>
    <t>Alignment(horizontal="left")</t>
  </si>
  <si>
    <t>居中对齐</t>
  </si>
  <si>
    <t>center</t>
  </si>
  <si>
    <t>Alignment(horizontal="center")</t>
  </si>
  <si>
    <t>右对齐</t>
  </si>
  <si>
    <t>right</t>
  </si>
  <si>
    <t>Alignment(horizontal="right")</t>
  </si>
  <si>
    <t>两端对齐（自动换行）</t>
  </si>
  <si>
    <t>justify</t>
  </si>
  <si>
    <t>Alignment(horizontal="justify")</t>
  </si>
  <si>
    <t>数字格式</t>
  </si>
  <si>
    <t>原始值</t>
  </si>
  <si>
    <t>格式</t>
  </si>
  <si>
    <t>说明</t>
  </si>
  <si>
    <t>3.14159</t>
  </si>
  <si>
    <t>0.00</t>
  </si>
  <si>
    <t>保留两位小数</t>
  </si>
  <si>
    <t>12345.67</t>
  </si>
  <si>
    <t>#,##0.00</t>
  </si>
  <si>
    <t>千分位</t>
  </si>
  <si>
    <t>0.856</t>
  </si>
  <si>
    <t>0.0%</t>
  </si>
  <si>
    <t>百分比</t>
  </si>
  <si>
    <t>168</t>
  </si>
  <si>
    <t>¥#,##0</t>
  </si>
  <si>
    <t>人民币</t>
  </si>
  <si>
    <t>2026-06-14</t>
  </si>
  <si>
    <t>YYYY-MM-DD</t>
  </si>
  <si>
    <t>日期</t>
  </si>
  <si>
    <t>14:30:00</t>
  </si>
  <si>
    <t>HH:MM:SS</t>
  </si>
  <si>
    <t>时间</t>
  </si>
  <si>
    <t>表格与数据处理</t>
  </si>
  <si>
    <t>销售数据表</t>
  </si>
  <si>
    <t>月份</t>
  </si>
  <si>
    <t>产品A</t>
  </si>
  <si>
    <t>产品B</t>
  </si>
  <si>
    <t>产品C</t>
  </si>
  <si>
    <t>合计</t>
  </si>
  <si>
    <t>增长率</t>
  </si>
  <si>
    <t>1月</t>
  </si>
  <si>
    <t>2月</t>
  </si>
  <si>
    <t>3月</t>
  </si>
  <si>
    <t>4月</t>
  </si>
  <si>
    <t>5月</t>
  </si>
  <si>
    <t>6月</t>
  </si>
  <si>
    <t>条件格式（增长率着色）</t>
  </si>
  <si>
    <t>增长率 &gt; 10% 标绿，&lt; 0% 标红</t>
  </si>
  <si>
    <t>数据条（产品A销售额）</t>
  </si>
  <si>
    <t>色阶（产品B销售额）</t>
  </si>
  <si>
    <t>数据验证（下拉选择）</t>
  </si>
  <si>
    <t>任务</t>
  </si>
  <si>
    <t>负责人</t>
  </si>
  <si>
    <t>状态</t>
  </si>
  <si>
    <t>需求评审</t>
  </si>
  <si>
    <t>张三</t>
  </si>
  <si>
    <t>已完成</t>
  </si>
  <si>
    <t>UI设计</t>
  </si>
  <si>
    <t>李四</t>
  </si>
  <si>
    <t>进行中</t>
  </si>
  <si>
    <t>后端开发</t>
  </si>
  <si>
    <t>王五</t>
  </si>
  <si>
    <t>待处理</t>
  </si>
  <si>
    <t>测试验收</t>
  </si>
  <si>
    <t>赵六</t>
  </si>
  <si>
    <t>图表展示</t>
  </si>
  <si>
    <t>销售额</t>
  </si>
  <si>
    <t>成本</t>
  </si>
  <si>
    <t>利润</t>
  </si>
  <si>
    <t>柱状图：销售额 vs 成本</t>
  </si>
  <si>
    <t>折线图：利润趋势</t>
  </si>
  <si>
    <t>饼图：各月销售额占比</t>
  </si>
  <si>
    <t>高级功能</t>
  </si>
  <si>
    <t>冻结窗格（向下滚动时表头固定）</t>
  </si>
  <si>
    <t>姓名</t>
  </si>
  <si>
    <t>部门</t>
  </si>
  <si>
    <t>职位</t>
  </si>
  <si>
    <t>工资</t>
  </si>
  <si>
    <t>绩效</t>
  </si>
  <si>
    <t>奖金</t>
  </si>
  <si>
    <t>技术部</t>
  </si>
  <si>
    <t>高级工程师</t>
  </si>
  <si>
    <t>A</t>
  </si>
  <si>
    <t>产品部</t>
  </si>
  <si>
    <t>产品经理</t>
  </si>
  <si>
    <t>B+</t>
  </si>
  <si>
    <t>设计部</t>
  </si>
  <si>
    <t>UI设计师</t>
  </si>
  <si>
    <t>数据部</t>
  </si>
  <si>
    <t>数据分析师</t>
  </si>
  <si>
    <t>B</t>
  </si>
  <si>
    <t>孙七</t>
  </si>
  <si>
    <t>前端开发</t>
  </si>
  <si>
    <t>A-</t>
  </si>
  <si>
    <t>周八</t>
  </si>
  <si>
    <t>运维部</t>
  </si>
  <si>
    <t>运维工程师</t>
  </si>
  <si>
    <t>吴九</t>
  </si>
  <si>
    <t>市场部</t>
  </si>
  <si>
    <t>市场专员</t>
  </si>
  <si>
    <t>C</t>
  </si>
  <si>
    <t>郑十</t>
  </si>
  <si>
    <t>财务部</t>
  </si>
  <si>
    <t>财务主管</t>
  </si>
  <si>
    <t>陈一</t>
  </si>
  <si>
    <t>架构师</t>
  </si>
  <si>
    <t>S</t>
  </si>
  <si>
    <t>林二</t>
  </si>
  <si>
    <t>产品总监</t>
  </si>
  <si>
    <t>A+</t>
  </si>
  <si>
    <t>自动筛选（表头添加筛选箭头）</t>
  </si>
  <si>
    <t>打印设置</t>
  </si>
  <si>
    <t>横向打印 | A4纸 | 左右0.6英寸 | 重复前5行</t>
  </si>
  <si>
    <t>常用公式示例</t>
  </si>
  <si>
    <t>公式名</t>
  </si>
  <si>
    <t>公式</t>
  </si>
  <si>
    <t>求和</t>
  </si>
  <si>
    <t>计算区域总和</t>
  </si>
  <si>
    <t>平均值</t>
  </si>
  <si>
    <t>计算平均值</t>
  </si>
  <si>
    <t>最大值</t>
  </si>
  <si>
    <t>取最大值</t>
  </si>
  <si>
    <t>计数</t>
  </si>
  <si>
    <t>统计数字个数</t>
  </si>
  <si>
    <t>条件计数</t>
  </si>
  <si>
    <t>按条件统计</t>
  </si>
  <si>
    <t>查找</t>
  </si>
  <si>
    <t>按行查找</t>
  </si>
  <si>
    <t>条件求和</t>
  </si>
  <si>
    <t>按条件求和</t>
  </si>
  <si>
    <t>项目进度追踪</t>
  </si>
  <si>
    <t>开始日期</t>
  </si>
  <si>
    <t>截止日期</t>
  </si>
  <si>
    <t>进度</t>
  </si>
  <si>
    <t>优先级</t>
  </si>
  <si>
    <t>备注</t>
  </si>
  <si>
    <t>需求分析</t>
  </si>
  <si>
    <t>2026-06-01</t>
  </si>
  <si>
    <t>2026-06-07</t>
  </si>
  <si>
    <t>P0</t>
  </si>
  <si>
    <t>已评审</t>
  </si>
  <si>
    <t>2026-06-05</t>
  </si>
  <si>
    <t>P1</t>
  </si>
  <si>
    <t>设计稿审核中</t>
  </si>
  <si>
    <t>数据库设计</t>
  </si>
  <si>
    <t>2026-06-08</t>
  </si>
  <si>
    <t>2026-06-12</t>
  </si>
  <si>
    <t>2026-06-10</t>
  </si>
  <si>
    <t>2026-06-25</t>
  </si>
  <si>
    <t>核心模块开发中</t>
  </si>
  <si>
    <t>2026-06-28</t>
  </si>
  <si>
    <t>接口联调</t>
  </si>
  <si>
    <t>张三/赵六</t>
  </si>
  <si>
    <t>2026-06-22</t>
  </si>
  <si>
    <t>2026-06-30</t>
  </si>
  <si>
    <t>未开始</t>
  </si>
  <si>
    <t>测试</t>
  </si>
  <si>
    <t>2026-07-05</t>
  </si>
  <si>
    <t>上线部署</t>
  </si>
  <si>
    <t>2026-07-08</t>
  </si>
  <si>
    <t>灰度发布</t>
  </si>
  <si>
    <t>产品</t>
  </si>
  <si>
    <t>数量</t>
  </si>
  <si>
    <t>单价</t>
  </si>
  <si>
    <t>金额</t>
  </si>
  <si>
    <t>2026-01</t>
  </si>
  <si>
    <t>笔记本电脑</t>
  </si>
  <si>
    <t>显示器</t>
  </si>
  <si>
    <t>耳机</t>
  </si>
  <si>
    <t>2026-02</t>
  </si>
  <si>
    <t>键盘</t>
  </si>
  <si>
    <t>2026-03</t>
  </si>
  <si>
    <t>鼠标</t>
  </si>
  <si>
    <t>2026-04</t>
  </si>
  <si>
    <t>2026-05</t>
  </si>
  <si>
    <t>2026-06</t>
  </si>
  <si>
    <t>计数项:部门</t>
  </si>
  <si>
    <t>金额合计</t>
  </si>
  <si>
    <t>数量合计</t>
  </si>
  <si>
    <t>按部门汇总</t>
  </si>
  <si>
    <t>计数项:产品</t>
  </si>
  <si>
    <t>按产品汇总</t>
  </si>
  <si>
    <t>计数项:日期</t>
  </si>
  <si>
    <t>按月份汇总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</si>
</sst>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\¥#,##0"/>
    <numFmt numFmtId="178" formatCode="yyyy\-mm\-dd"/>
    <numFmt numFmtId="179" formatCode="hh:mm:ss"/>
  </numFmts>
  <fonts count="17">
    <font>
      <sz val="11"/>
      <color theme="1"/>
      <name val="宋体"/>
      <family val="2"/>
      <scheme val="minor"/>
    </font>
    <font>
      <b/>
      <sz val="16"/>
      <color rgb="FF2B2D42"/>
      <name val="Microsoft YaHei"/>
      <family val="2"/>
      <charset val="134"/>
    </font>
    <font>
      <b/>
      <sz val="13"/>
      <color rgb="FF5CBDB4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20"/>
      <color rgb="FF2B2D42"/>
      <name val="Microsoft YaHei"/>
      <family val="2"/>
      <charset val="134"/>
    </font>
    <font>
      <sz val="11"/>
      <color rgb="FF2B2D42"/>
      <name val="Microsoft YaHei"/>
      <family val="2"/>
      <charset val="134"/>
    </font>
    <font>
      <b/>
      <sz val="14"/>
      <color rgb="FF2B2D42"/>
      <name val="Microsoft YaHei"/>
      <family val="2"/>
      <charset val="134"/>
    </font>
    <font>
      <sz val="12"/>
      <color rgb="FF2B2D42"/>
      <name val="Microsoft YaHei"/>
      <family val="2"/>
      <charset val="134"/>
    </font>
    <font>
      <sz val="10"/>
      <color rgb="FF2B2D42"/>
      <name val="Microsoft YaHei"/>
      <family val="2"/>
      <charset val="134"/>
    </font>
    <font>
      <sz val="9"/>
      <color rgb="FF2B2D42"/>
      <name val="Microsoft YaHei"/>
      <family val="2"/>
      <charset val="134"/>
    </font>
    <font>
      <sz val="10"/>
      <color rgb="FF7A7C8E"/>
      <name val="Microsoft YaHei"/>
      <family val="2"/>
      <charset val="134"/>
    </font>
    <font>
      <b/>
      <sz val="11"/>
      <color rgb="FF2B2D42"/>
      <name val="Microsoft YaHei"/>
      <family val="2"/>
      <charset val="134"/>
    </font>
    <font>
      <sz val="10"/>
      <color rgb="FF5CBDB4"/>
      <name val="Consolas"/>
    </font>
    <font>
      <b/>
      <sz val="11"/>
      <color rgb="FFFFFFFF"/>
      <name val="Microsoft YaHei"/>
      <family val="2"/>
      <charset val="134"/>
    </font>
    <font>
      <b/>
      <sz val="11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1D8D1"/>
        <bgColor rgb="FF81D8D1"/>
      </patternFill>
    </fill>
    <fill>
      <patternFill patternType="solid">
        <fgColor rgb="FF5CBDB4"/>
        <bgColor rgb="FF5CBDB4"/>
      </patternFill>
    </fill>
    <fill>
      <patternFill patternType="solid">
        <fgColor rgb="FFFBF7D8"/>
        <bgColor rgb="FFFBF7D8"/>
      </patternFill>
    </fill>
    <fill>
      <patternFill patternType="solid">
        <fgColor rgb="FFFDF9EC"/>
        <bgColor rgb="FFFDF9EC"/>
      </patternFill>
    </fill>
    <fill>
      <patternFill patternType="solid">
        <fgColor rgb="FFA8E0D8"/>
        <bgColor rgb="FFA8E0D8"/>
      </patternFill>
    </fill>
    <fill>
      <patternFill patternType="solid">
        <fgColor rgb="FF2B2D42"/>
        <bgColor rgb="FF2B2D42"/>
      </patternFill>
    </fill>
    <fill>
      <patternFill patternType="solid">
        <fgColor rgb="FF7A7C8E"/>
        <bgColor rgb="FF7A7C8E"/>
      </patternFill>
    </fill>
    <fill>
      <patternFill patternType="solid">
        <fgColor rgb="FFE86D50"/>
        <bgColor rgb="FFE86D50"/>
      </patternFill>
    </fill>
    <fill>
      <patternFill patternType="solid">
        <fgColor rgb="FF81D800"/>
        <bgColor indexed="64"/>
      </patternFill>
    </fill>
    <fill>
      <patternFill patternType="solid">
        <fgColor rgb="FFFDF9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1D8D1"/>
      </bottom>
      <diagonal/>
    </border>
    <border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9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10" fillId="0" borderId="0" xfId="0" applyFont="1"/>
    <xf numFmtId="0" fontId="0" fillId="9" borderId="0" xfId="0" applyFill="1"/>
    <xf numFmtId="0" fontId="14" fillId="10" borderId="0" xfId="0" applyFont="1" applyFill="1"/>
    <xf numFmtId="3" fontId="0" fillId="0" borderId="0" xfId="0" applyNumberFormat="1"/>
    <xf numFmtId="0" fontId="0" fillId="11" borderId="0" xfId="0" applyFill="1"/>
    <xf numFmtId="3" fontId="0" fillId="11" borderId="0" xfId="0" applyNumberFormat="1" applyFill="1"/>
    <xf numFmtId="0" fontId="0" fillId="0" borderId="0" xfId="0" applyNumberFormat="1"/>
    <xf numFmtId="0" fontId="16" fillId="0" borderId="0" xfId="0" applyFont="1"/>
  </cellXfs>
  <cellStyles count="1">
    <cellStyle name="常规" xfId="0" builtinId="0"/>
  </cellStyles>
  <dxfs count="7">
    <dxf>
      <font>
        <b/>
        <color rgb="FFE65100"/>
      </font>
    </dxf>
    <dxf>
      <font>
        <b/>
        <color rgb="FFC62828"/>
      </font>
    </dxf>
    <dxf>
      <font>
        <b/>
        <color rgb="FF7B1FA2"/>
      </font>
      <fill>
        <patternFill patternType="solid">
          <fgColor rgb="FFF3E5F5"/>
          <bgColor rgb="FFF3E5F5"/>
        </patternFill>
      </fill>
    </dxf>
    <dxf>
      <font>
        <b/>
        <color rgb="FFE65100"/>
      </font>
      <fill>
        <patternFill patternType="solid">
          <fgColor rgb="FFFFF3E0"/>
          <bgColor rgb="FFFFF3E0"/>
        </patternFill>
      </fill>
    </dxf>
    <dxf>
      <font>
        <b/>
        <color rgb="FF2E7D32"/>
      </font>
      <fill>
        <patternFill patternType="solid">
          <fgColor rgb="FFE8F5E9"/>
          <bgColor rgb="FFE8F5E9"/>
        </patternFill>
      </fill>
    </dxf>
    <dxf>
      <font>
        <color rgb="FFC62828"/>
      </font>
      <fill>
        <patternFill patternType="solid">
          <fgColor rgb="FFFFEBEE"/>
          <bgColor rgb="FFFFEBEE"/>
        </patternFill>
      </fill>
    </dxf>
    <dxf>
      <font>
        <color rgb="FF2E7D32"/>
      </font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[openpyxl_全功能展示_透视表.xlsx]按部门透视!部门汇总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zh-CN" altLang="en-US"/>
              <a:t>各部门销售金额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按部门透视!$A$3</c:f>
              <c:strCache>
                <c:ptCount val="1"/>
                <c:pt idx="0">
                  <c:v>计数项:部门</c:v>
                </c:pt>
              </c:strCache>
            </c:strRef>
          </c:tx>
          <c:invertIfNegative val="0"/>
          <c:cat>
            <c:strRef>
              <c:f>按部门透视!$A$4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按部门透视!$A$4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7-4823-8A78-3F35706E5E57}"/>
            </c:ext>
          </c:extLst>
        </c:ser>
        <c:ser>
          <c:idx val="1"/>
          <c:order val="1"/>
          <c:tx>
            <c:strRef>
              <c:f>按部门透视!$B$3</c:f>
              <c:strCache>
                <c:ptCount val="1"/>
                <c:pt idx="0">
                  <c:v>金额合计</c:v>
                </c:pt>
              </c:strCache>
            </c:strRef>
          </c:tx>
          <c:invertIfNegative val="0"/>
          <c:cat>
            <c:strRef>
              <c:f>按部门透视!$A$4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按部门透视!$B$4</c:f>
              <c:numCache>
                <c:formatCode>#,##0</c:formatCode>
                <c:ptCount val="1"/>
                <c:pt idx="0">
                  <c:v>2383517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7-4823-8A78-3F35706E5E57}"/>
            </c:ext>
          </c:extLst>
        </c:ser>
        <c:ser>
          <c:idx val="2"/>
          <c:order val="2"/>
          <c:tx>
            <c:strRef>
              <c:f>按部门透视!$C$3</c:f>
              <c:strCache>
                <c:ptCount val="1"/>
                <c:pt idx="0">
                  <c:v>数量合计</c:v>
                </c:pt>
              </c:strCache>
            </c:strRef>
          </c:tx>
          <c:invertIfNegative val="0"/>
          <c:cat>
            <c:strRef>
              <c:f>按部门透视!$A$4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按部门透视!$C$4</c:f>
              <c:numCache>
                <c:formatCode>General</c:formatCode>
                <c:ptCount val="1"/>
                <c:pt idx="0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7-4823-8A78-3F35706E5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696911"/>
        <c:axId val="383699311"/>
      </c:barChart>
      <c:catAx>
        <c:axId val="383696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3699311"/>
        <c:crosses val="autoZero"/>
        <c:auto val="1"/>
        <c:lblAlgn val="ctr"/>
        <c:lblOffset val="100"/>
        <c:noMultiLvlLbl val="0"/>
      </c:catAx>
      <c:valAx>
        <c:axId val="3836993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696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销售额 vs 成本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图表!$B$4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81D8D1"/>
            </a:solidFill>
            <a:ln>
              <a:prstDash val="solid"/>
            </a:ln>
          </c:spPr>
          <c:invertIfNegative val="1"/>
          <c:cat>
            <c:strRef>
              <c:f>图表!$A$5:$A$10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图表!$B$5:$B$10</c:f>
              <c:numCache>
                <c:formatCode>#,##0</c:formatCode>
                <c:ptCount val="6"/>
                <c:pt idx="0">
                  <c:v>12000</c:v>
                </c:pt>
                <c:pt idx="1">
                  <c:v>15000</c:v>
                </c:pt>
                <c:pt idx="2">
                  <c:v>13500</c:v>
                </c:pt>
                <c:pt idx="3">
                  <c:v>18000</c:v>
                </c:pt>
                <c:pt idx="4">
                  <c:v>21000</c:v>
                </c:pt>
                <c:pt idx="5">
                  <c:v>19500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A7-4F0A-99AA-DD6C67B2E009}"/>
            </c:ext>
          </c:extLst>
        </c:ser>
        <c:ser>
          <c:idx val="1"/>
          <c:order val="1"/>
          <c:tx>
            <c:strRef>
              <c:f>图表!$C$4</c:f>
              <c:strCache>
                <c:ptCount val="1"/>
                <c:pt idx="0">
                  <c:v>成本</c:v>
                </c:pt>
              </c:strCache>
            </c:strRef>
          </c:tx>
          <c:spPr>
            <a:solidFill>
              <a:srgbClr val="7A7C8E"/>
            </a:solidFill>
            <a:ln>
              <a:prstDash val="solid"/>
            </a:ln>
          </c:spPr>
          <c:invertIfNegative val="1"/>
          <c:cat>
            <c:strRef>
              <c:f>图表!$A$5:$A$10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图表!$C$5:$C$10</c:f>
              <c:numCache>
                <c:formatCode>#,##0</c:formatCode>
                <c:ptCount val="6"/>
                <c:pt idx="0">
                  <c:v>7200</c:v>
                </c:pt>
                <c:pt idx="1">
                  <c:v>8500</c:v>
                </c:pt>
                <c:pt idx="2">
                  <c:v>7800</c:v>
                </c:pt>
                <c:pt idx="3">
                  <c:v>9800</c:v>
                </c:pt>
                <c:pt idx="4">
                  <c:v>11000</c:v>
                </c:pt>
                <c:pt idx="5">
                  <c:v>10200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CA7-4F0A-99AA-DD6C67B2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月份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金额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利润趋势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图表!$D$4</c:f>
              <c:strCache>
                <c:ptCount val="1"/>
                <c:pt idx="0">
                  <c:v>利润</c:v>
                </c:pt>
              </c:strCache>
            </c:strRef>
          </c:tx>
          <c:spPr>
            <a:ln w="25000">
              <a:solidFill>
                <a:srgbClr val="5CBDB4"/>
              </a:solidFill>
              <a:prstDash val="solid"/>
            </a:ln>
          </c:spPr>
          <c:marker>
            <c:symbol val="none"/>
          </c:marker>
          <c:cat>
            <c:strRef>
              <c:f>图表!$A$5:$A$10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图表!$D$5:$D$10</c:f>
              <c:numCache>
                <c:formatCode>#,##0</c:formatCode>
                <c:ptCount val="6"/>
                <c:pt idx="0">
                  <c:v>4800</c:v>
                </c:pt>
                <c:pt idx="1">
                  <c:v>6500</c:v>
                </c:pt>
                <c:pt idx="2">
                  <c:v>5700</c:v>
                </c:pt>
                <c:pt idx="3">
                  <c:v>8200</c:v>
                </c:pt>
                <c:pt idx="4">
                  <c:v>10000</c:v>
                </c:pt>
                <c:pt idx="5">
                  <c:v>9300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0C-4BB2-9FFF-22AE00F1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利润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各月销售额占比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图表!$B$4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81D8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14-45F9-B3C1-636ADD4BB3D3}"/>
              </c:ext>
            </c:extLst>
          </c:dPt>
          <c:dPt>
            <c:idx val="1"/>
            <c:bubble3D val="0"/>
            <c:spPr>
              <a:solidFill>
                <a:srgbClr val="5CBDB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14-45F9-B3C1-636ADD4BB3D3}"/>
              </c:ext>
            </c:extLst>
          </c:dPt>
          <c:dPt>
            <c:idx val="2"/>
            <c:bubble3D val="0"/>
            <c:spPr>
              <a:solidFill>
                <a:srgbClr val="A8E0D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14-45F9-B3C1-636ADD4BB3D3}"/>
              </c:ext>
            </c:extLst>
          </c:dPt>
          <c:dPt>
            <c:idx val="3"/>
            <c:bubble3D val="0"/>
            <c:spPr>
              <a:solidFill>
                <a:srgbClr val="FBF7D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A14-45F9-B3C1-636ADD4BB3D3}"/>
              </c:ext>
            </c:extLst>
          </c:dPt>
          <c:dPt>
            <c:idx val="4"/>
            <c:bubble3D val="0"/>
            <c:spPr>
              <a:solidFill>
                <a:srgbClr val="7A7C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A14-45F9-B3C1-636ADD4BB3D3}"/>
              </c:ext>
            </c:extLst>
          </c:dPt>
          <c:dPt>
            <c:idx val="5"/>
            <c:bubble3D val="0"/>
            <c:spPr>
              <a:solidFill>
                <a:srgbClr val="2B2D4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A14-45F9-B3C1-636ADD4BB3D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图表!$A$5:$A$10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图表!$B$5:$B$10</c:f>
              <c:numCache>
                <c:formatCode>#,##0</c:formatCode>
                <c:ptCount val="6"/>
                <c:pt idx="0">
                  <c:v>12000</c:v>
                </c:pt>
                <c:pt idx="1">
                  <c:v>15000</c:v>
                </c:pt>
                <c:pt idx="2">
                  <c:v>13500</c:v>
                </c:pt>
                <c:pt idx="3">
                  <c:v>18000</c:v>
                </c:pt>
                <c:pt idx="4">
                  <c:v>21000</c:v>
                </c:pt>
                <c:pt idx="5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14-45F9-B3C1-636ADD4BB3D3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0</xdr:row>
      <xdr:rowOff>127000</xdr:rowOff>
    </xdr:from>
    <xdr:to>
      <xdr:col>12</xdr:col>
      <xdr:colOff>463550</xdr:colOff>
      <xdr:row>21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7F58FA-94B8-94F2-8A82-F5DD80FFF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28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29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Winchester" refreshedDate="46187.457714004631" createdVersion="8" refreshedVersion="8" minRefreshableVersion="3" recordCount="24" xr:uid="{A74D3A5E-F073-442F-856E-B6F19E3F3003}">
  <cacheSource type="worksheet">
    <worksheetSource ref="A1:F25" sheet="透视数据"/>
  </cacheSource>
  <cacheFields count="6">
    <cacheField name="日期" numFmtId="0">
      <sharedItems/>
    </cacheField>
    <cacheField name="部门" numFmtId="0">
      <sharedItems/>
    </cacheField>
    <cacheField name="产品" numFmtId="0">
      <sharedItems/>
    </cacheField>
    <cacheField name="数量" numFmtId="0">
      <sharedItems containsSemiMixedTypes="0" containsString="0" containsNumber="1" containsInteger="1" minValue="11" maxValue="49"/>
    </cacheField>
    <cacheField name="单价" numFmtId="3">
      <sharedItems containsSemiMixedTypes="0" containsString="0" containsNumber="1" containsInteger="1" minValue="360" maxValue="7773"/>
    </cacheField>
    <cacheField name="金额" numFmtId="3">
      <sharedItems containsSemiMixedTypes="0" containsString="0" containsNumber="1" containsInteger="1" minValue="9449" maxValue="3808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Winchester" refreshedDate="46187.457715509256" createdVersion="8" refreshedVersion="8" minRefreshableVersion="3" recordCount="24" xr:uid="{A6BE59A0-FD90-4F94-A840-D922530654F9}">
  <cacheSource type="worksheet">
    <worksheetSource ref="A1:F25" sheet="透视数据"/>
  </cacheSource>
  <cacheFields count="6">
    <cacheField name="日期" numFmtId="0">
      <sharedItems/>
    </cacheField>
    <cacheField name="部门" numFmtId="0">
      <sharedItems/>
    </cacheField>
    <cacheField name="产品" numFmtId="0">
      <sharedItems/>
    </cacheField>
    <cacheField name="数量" numFmtId="0">
      <sharedItems containsSemiMixedTypes="0" containsString="0" containsNumber="1" containsInteger="1" minValue="11" maxValue="49"/>
    </cacheField>
    <cacheField name="单价" numFmtId="3">
      <sharedItems containsSemiMixedTypes="0" containsString="0" containsNumber="1" containsInteger="1" minValue="360" maxValue="7773"/>
    </cacheField>
    <cacheField name="金额" numFmtId="3">
      <sharedItems containsSemiMixedTypes="0" containsString="0" containsNumber="1" containsInteger="1" minValue="9449" maxValue="3808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Winchester" refreshedDate="46187.457715856479" createdVersion="8" refreshedVersion="8" minRefreshableVersion="3" recordCount="24" xr:uid="{857F9134-FF99-43DE-9277-F901539EADE6}">
  <cacheSource type="worksheet">
    <worksheetSource ref="A1:F25" sheet="透视数据"/>
  </cacheSource>
  <cacheFields count="6">
    <cacheField name="日期" numFmtId="0">
      <sharedItems/>
    </cacheField>
    <cacheField name="部门" numFmtId="0">
      <sharedItems/>
    </cacheField>
    <cacheField name="产品" numFmtId="0">
      <sharedItems/>
    </cacheField>
    <cacheField name="数量" numFmtId="0">
      <sharedItems containsSemiMixedTypes="0" containsString="0" containsNumber="1" containsInteger="1" minValue="11" maxValue="49"/>
    </cacheField>
    <cacheField name="单价" numFmtId="3">
      <sharedItems containsSemiMixedTypes="0" containsString="0" containsNumber="1" containsInteger="1" minValue="360" maxValue="7773"/>
    </cacheField>
    <cacheField name="金额" numFmtId="3">
      <sharedItems containsSemiMixedTypes="0" containsString="0" containsNumber="1" containsInteger="1" minValue="9449" maxValue="3808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2026-01"/>
    <s v="技术部"/>
    <s v="笔记本电脑"/>
    <n v="22"/>
    <n v="2106"/>
    <n v="46332"/>
  </r>
  <r>
    <s v="2026-01"/>
    <s v="产品部"/>
    <s v="显示器"/>
    <n v="11"/>
    <n v="5643"/>
    <n v="62073"/>
  </r>
  <r>
    <s v="2026-01"/>
    <s v="技术部"/>
    <s v="耳机"/>
    <n v="32"/>
    <n v="360"/>
    <n v="11520"/>
  </r>
  <r>
    <s v="2026-01"/>
    <s v="技术部"/>
    <s v="笔记本电脑"/>
    <n v="18"/>
    <n v="2005"/>
    <n v="36090"/>
  </r>
  <r>
    <s v="2026-02"/>
    <s v="技术部"/>
    <s v="耳机"/>
    <n v="17"/>
    <n v="5965"/>
    <n v="101405"/>
  </r>
  <r>
    <s v="2026-02"/>
    <s v="市场部"/>
    <s v="显示器"/>
    <n v="33"/>
    <n v="4927"/>
    <n v="162591"/>
  </r>
  <r>
    <s v="2026-02"/>
    <s v="设计部"/>
    <s v="笔记本电脑"/>
    <n v="15"/>
    <n v="5819"/>
    <n v="87285"/>
  </r>
  <r>
    <s v="2026-02"/>
    <s v="市场部"/>
    <s v="键盘"/>
    <n v="22"/>
    <n v="1373"/>
    <n v="30206"/>
  </r>
  <r>
    <s v="2026-03"/>
    <s v="产品部"/>
    <s v="键盘"/>
    <n v="11"/>
    <n v="859"/>
    <n v="9449"/>
  </r>
  <r>
    <s v="2026-03"/>
    <s v="市场部"/>
    <s v="笔记本电脑"/>
    <n v="27"/>
    <n v="7042"/>
    <n v="190134"/>
  </r>
  <r>
    <s v="2026-03"/>
    <s v="设计部"/>
    <s v="耳机"/>
    <n v="21"/>
    <n v="6711"/>
    <n v="140931"/>
  </r>
  <r>
    <s v="2026-03"/>
    <s v="技术部"/>
    <s v="鼠标"/>
    <n v="39"/>
    <n v="1122"/>
    <n v="43758"/>
  </r>
  <r>
    <s v="2026-04"/>
    <s v="市场部"/>
    <s v="笔记本电脑"/>
    <n v="40"/>
    <n v="2501"/>
    <n v="100040"/>
  </r>
  <r>
    <s v="2026-04"/>
    <s v="设计部"/>
    <s v="耳机"/>
    <n v="17"/>
    <n v="5871"/>
    <n v="99807"/>
  </r>
  <r>
    <s v="2026-04"/>
    <s v="技术部"/>
    <s v="笔记本电脑"/>
    <n v="47"/>
    <n v="1966"/>
    <n v="92402"/>
  </r>
  <r>
    <s v="2026-04"/>
    <s v="设计部"/>
    <s v="笔记本电脑"/>
    <n v="19"/>
    <n v="7198"/>
    <n v="136762"/>
  </r>
  <r>
    <s v="2026-05"/>
    <s v="技术部"/>
    <s v="鼠标"/>
    <n v="22"/>
    <n v="3814"/>
    <n v="83908"/>
  </r>
  <r>
    <s v="2026-05"/>
    <s v="设计部"/>
    <s v="显示器"/>
    <n v="28"/>
    <n v="3010"/>
    <n v="84280"/>
  </r>
  <r>
    <s v="2026-05"/>
    <s v="产品部"/>
    <s v="键盘"/>
    <n v="49"/>
    <n v="7773"/>
    <n v="380877"/>
  </r>
  <r>
    <s v="2026-05"/>
    <s v="技术部"/>
    <s v="耳机"/>
    <n v="45"/>
    <n v="1501"/>
    <n v="67545"/>
  </r>
  <r>
    <s v="2026-06"/>
    <s v="产品部"/>
    <s v="显示器"/>
    <n v="34"/>
    <n v="3208"/>
    <n v="109072"/>
  </r>
  <r>
    <s v="2026-06"/>
    <s v="设计部"/>
    <s v="耳机"/>
    <n v="19"/>
    <n v="5708"/>
    <n v="108452"/>
  </r>
  <r>
    <s v="2026-06"/>
    <s v="设计部"/>
    <s v="笔记本电脑"/>
    <n v="19"/>
    <n v="6832"/>
    <n v="129808"/>
  </r>
  <r>
    <s v="2026-06"/>
    <s v="技术部"/>
    <s v="键盘"/>
    <n v="30"/>
    <n v="2293"/>
    <n v="687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2026-01"/>
    <s v="技术部"/>
    <s v="笔记本电脑"/>
    <n v="22"/>
    <n v="2106"/>
    <n v="46332"/>
  </r>
  <r>
    <s v="2026-01"/>
    <s v="产品部"/>
    <s v="显示器"/>
    <n v="11"/>
    <n v="5643"/>
    <n v="62073"/>
  </r>
  <r>
    <s v="2026-01"/>
    <s v="技术部"/>
    <s v="耳机"/>
    <n v="32"/>
    <n v="360"/>
    <n v="11520"/>
  </r>
  <r>
    <s v="2026-01"/>
    <s v="技术部"/>
    <s v="笔记本电脑"/>
    <n v="18"/>
    <n v="2005"/>
    <n v="36090"/>
  </r>
  <r>
    <s v="2026-02"/>
    <s v="技术部"/>
    <s v="耳机"/>
    <n v="17"/>
    <n v="5965"/>
    <n v="101405"/>
  </r>
  <r>
    <s v="2026-02"/>
    <s v="市场部"/>
    <s v="显示器"/>
    <n v="33"/>
    <n v="4927"/>
    <n v="162591"/>
  </r>
  <r>
    <s v="2026-02"/>
    <s v="设计部"/>
    <s v="笔记本电脑"/>
    <n v="15"/>
    <n v="5819"/>
    <n v="87285"/>
  </r>
  <r>
    <s v="2026-02"/>
    <s v="市场部"/>
    <s v="键盘"/>
    <n v="22"/>
    <n v="1373"/>
    <n v="30206"/>
  </r>
  <r>
    <s v="2026-03"/>
    <s v="产品部"/>
    <s v="键盘"/>
    <n v="11"/>
    <n v="859"/>
    <n v="9449"/>
  </r>
  <r>
    <s v="2026-03"/>
    <s v="市场部"/>
    <s v="笔记本电脑"/>
    <n v="27"/>
    <n v="7042"/>
    <n v="190134"/>
  </r>
  <r>
    <s v="2026-03"/>
    <s v="设计部"/>
    <s v="耳机"/>
    <n v="21"/>
    <n v="6711"/>
    <n v="140931"/>
  </r>
  <r>
    <s v="2026-03"/>
    <s v="技术部"/>
    <s v="鼠标"/>
    <n v="39"/>
    <n v="1122"/>
    <n v="43758"/>
  </r>
  <r>
    <s v="2026-04"/>
    <s v="市场部"/>
    <s v="笔记本电脑"/>
    <n v="40"/>
    <n v="2501"/>
    <n v="100040"/>
  </r>
  <r>
    <s v="2026-04"/>
    <s v="设计部"/>
    <s v="耳机"/>
    <n v="17"/>
    <n v="5871"/>
    <n v="99807"/>
  </r>
  <r>
    <s v="2026-04"/>
    <s v="技术部"/>
    <s v="笔记本电脑"/>
    <n v="47"/>
    <n v="1966"/>
    <n v="92402"/>
  </r>
  <r>
    <s v="2026-04"/>
    <s v="设计部"/>
    <s v="笔记本电脑"/>
    <n v="19"/>
    <n v="7198"/>
    <n v="136762"/>
  </r>
  <r>
    <s v="2026-05"/>
    <s v="技术部"/>
    <s v="鼠标"/>
    <n v="22"/>
    <n v="3814"/>
    <n v="83908"/>
  </r>
  <r>
    <s v="2026-05"/>
    <s v="设计部"/>
    <s v="显示器"/>
    <n v="28"/>
    <n v="3010"/>
    <n v="84280"/>
  </r>
  <r>
    <s v="2026-05"/>
    <s v="产品部"/>
    <s v="键盘"/>
    <n v="49"/>
    <n v="7773"/>
    <n v="380877"/>
  </r>
  <r>
    <s v="2026-05"/>
    <s v="技术部"/>
    <s v="耳机"/>
    <n v="45"/>
    <n v="1501"/>
    <n v="67545"/>
  </r>
  <r>
    <s v="2026-06"/>
    <s v="产品部"/>
    <s v="显示器"/>
    <n v="34"/>
    <n v="3208"/>
    <n v="109072"/>
  </r>
  <r>
    <s v="2026-06"/>
    <s v="设计部"/>
    <s v="耳机"/>
    <n v="19"/>
    <n v="5708"/>
    <n v="108452"/>
  </r>
  <r>
    <s v="2026-06"/>
    <s v="设计部"/>
    <s v="笔记本电脑"/>
    <n v="19"/>
    <n v="6832"/>
    <n v="129808"/>
  </r>
  <r>
    <s v="2026-06"/>
    <s v="技术部"/>
    <s v="键盘"/>
    <n v="30"/>
    <n v="2293"/>
    <n v="687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2026-01"/>
    <s v="技术部"/>
    <s v="笔记本电脑"/>
    <n v="22"/>
    <n v="2106"/>
    <n v="46332"/>
  </r>
  <r>
    <s v="2026-01"/>
    <s v="产品部"/>
    <s v="显示器"/>
    <n v="11"/>
    <n v="5643"/>
    <n v="62073"/>
  </r>
  <r>
    <s v="2026-01"/>
    <s v="技术部"/>
    <s v="耳机"/>
    <n v="32"/>
    <n v="360"/>
    <n v="11520"/>
  </r>
  <r>
    <s v="2026-01"/>
    <s v="技术部"/>
    <s v="笔记本电脑"/>
    <n v="18"/>
    <n v="2005"/>
    <n v="36090"/>
  </r>
  <r>
    <s v="2026-02"/>
    <s v="技术部"/>
    <s v="耳机"/>
    <n v="17"/>
    <n v="5965"/>
    <n v="101405"/>
  </r>
  <r>
    <s v="2026-02"/>
    <s v="市场部"/>
    <s v="显示器"/>
    <n v="33"/>
    <n v="4927"/>
    <n v="162591"/>
  </r>
  <r>
    <s v="2026-02"/>
    <s v="设计部"/>
    <s v="笔记本电脑"/>
    <n v="15"/>
    <n v="5819"/>
    <n v="87285"/>
  </r>
  <r>
    <s v="2026-02"/>
    <s v="市场部"/>
    <s v="键盘"/>
    <n v="22"/>
    <n v="1373"/>
    <n v="30206"/>
  </r>
  <r>
    <s v="2026-03"/>
    <s v="产品部"/>
    <s v="键盘"/>
    <n v="11"/>
    <n v="859"/>
    <n v="9449"/>
  </r>
  <r>
    <s v="2026-03"/>
    <s v="市场部"/>
    <s v="笔记本电脑"/>
    <n v="27"/>
    <n v="7042"/>
    <n v="190134"/>
  </r>
  <r>
    <s v="2026-03"/>
    <s v="设计部"/>
    <s v="耳机"/>
    <n v="21"/>
    <n v="6711"/>
    <n v="140931"/>
  </r>
  <r>
    <s v="2026-03"/>
    <s v="技术部"/>
    <s v="鼠标"/>
    <n v="39"/>
    <n v="1122"/>
    <n v="43758"/>
  </r>
  <r>
    <s v="2026-04"/>
    <s v="市场部"/>
    <s v="笔记本电脑"/>
    <n v="40"/>
    <n v="2501"/>
    <n v="100040"/>
  </r>
  <r>
    <s v="2026-04"/>
    <s v="设计部"/>
    <s v="耳机"/>
    <n v="17"/>
    <n v="5871"/>
    <n v="99807"/>
  </r>
  <r>
    <s v="2026-04"/>
    <s v="技术部"/>
    <s v="笔记本电脑"/>
    <n v="47"/>
    <n v="1966"/>
    <n v="92402"/>
  </r>
  <r>
    <s v="2026-04"/>
    <s v="设计部"/>
    <s v="笔记本电脑"/>
    <n v="19"/>
    <n v="7198"/>
    <n v="136762"/>
  </r>
  <r>
    <s v="2026-05"/>
    <s v="技术部"/>
    <s v="鼠标"/>
    <n v="22"/>
    <n v="3814"/>
    <n v="83908"/>
  </r>
  <r>
    <s v="2026-05"/>
    <s v="设计部"/>
    <s v="显示器"/>
    <n v="28"/>
    <n v="3010"/>
    <n v="84280"/>
  </r>
  <r>
    <s v="2026-05"/>
    <s v="产品部"/>
    <s v="键盘"/>
    <n v="49"/>
    <n v="7773"/>
    <n v="380877"/>
  </r>
  <r>
    <s v="2026-05"/>
    <s v="技术部"/>
    <s v="耳机"/>
    <n v="45"/>
    <n v="1501"/>
    <n v="67545"/>
  </r>
  <r>
    <s v="2026-06"/>
    <s v="产品部"/>
    <s v="显示器"/>
    <n v="34"/>
    <n v="3208"/>
    <n v="109072"/>
  </r>
  <r>
    <s v="2026-06"/>
    <s v="设计部"/>
    <s v="耳机"/>
    <n v="19"/>
    <n v="5708"/>
    <n v="108452"/>
  </r>
  <r>
    <s v="2026-06"/>
    <s v="设计部"/>
    <s v="笔记本电脑"/>
    <n v="19"/>
    <n v="6832"/>
    <n v="129808"/>
  </r>
  <r>
    <s v="2026-06"/>
    <s v="技术部"/>
    <s v="键盘"/>
    <n v="30"/>
    <n v="2293"/>
    <n v="687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F2FCE-7296-4E68-8E12-E13593BCA9DA}" name="月份汇总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4" firstHeaderRow="0" firstDataRow="1" firstDataCol="0"/>
  <pivotFields count="6">
    <pivotField dataField="1" showAll="0"/>
    <pivotField showAll="0"/>
    <pivotField showAll="0"/>
    <pivotField showAll="0"/>
    <pivotField numFmtId="3" showAll="0"/>
    <pivotField dataField="1" numFmtId="3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计数项:日期" fld="0" subtotal="count" baseField="0" baseItem="0"/>
    <dataField name="金额合计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F7B56-5CA3-40DF-A829-8E8C16F24051}" name="产品汇总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4" firstHeaderRow="0" firstDataRow="1" firstDataCol="0"/>
  <pivotFields count="6">
    <pivotField showAll="0"/>
    <pivotField showAll="0"/>
    <pivotField dataField="1" showAll="0"/>
    <pivotField dataField="1" showAll="0"/>
    <pivotField numFmtId="3" showAll="0"/>
    <pivotField dataField="1"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计数项:产品" fld="2" subtotal="count" baseField="0" baseItem="0"/>
    <dataField name="金额合计" fld="5" baseField="0" baseItem="0" numFmtId="3"/>
    <dataField name="数量合计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01ECF-DE52-4204-B5F1-4AD3CB57818C}" name="部门汇总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C4" firstHeaderRow="0" firstDataRow="1" firstDataCol="0"/>
  <pivotFields count="6">
    <pivotField showAll="0"/>
    <pivotField dataField="1" showAll="0"/>
    <pivotField showAll="0"/>
    <pivotField dataField="1" showAll="0"/>
    <pivotField numFmtId="3" showAll="0"/>
    <pivotField dataField="1"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计数项:部门" fld="1" subtotal="count" baseField="0" baseItem="0"/>
    <dataField name="金额合计" fld="5" baseField="0" baseItem="0" numFmtId="3"/>
    <dataField name="数量合计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5266-E9E9-4D99-B88F-49A0FC19BB73}">
  <dimension ref="A1:B4"/>
  <sheetViews>
    <sheetView tabSelected="1" workbookViewId="0"/>
  </sheetViews>
  <sheetFormatPr defaultRowHeight="14"/>
  <cols>
    <col min="1" max="1" width="13.08984375" bestFit="1" customWidth="1"/>
    <col min="2" max="2" width="10.26953125" bestFit="1" customWidth="1"/>
  </cols>
  <sheetData>
    <row r="1" spans="1:2" ht="21">
      <c r="A1" s="43" t="s">
        <v>233</v>
      </c>
    </row>
    <row r="3" spans="1:2">
      <c r="A3" t="s">
        <v>232</v>
      </c>
      <c r="B3" t="s">
        <v>227</v>
      </c>
    </row>
    <row r="4" spans="1:2">
      <c r="A4" s="42">
        <v>24</v>
      </c>
      <c r="B4" s="39">
        <v>2383517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3FA2-9B20-4981-9AD8-BA5F85CBBBEC}">
  <dimension ref="A1:C4"/>
  <sheetViews>
    <sheetView workbookViewId="0"/>
  </sheetViews>
  <sheetFormatPr defaultRowHeight="14"/>
  <cols>
    <col min="1" max="1" width="13.08984375" bestFit="1" customWidth="1"/>
    <col min="2" max="2" width="10.26953125" bestFit="1" customWidth="1"/>
    <col min="3" max="3" width="9.6328125" bestFit="1" customWidth="1"/>
  </cols>
  <sheetData>
    <row r="1" spans="1:3" ht="21">
      <c r="A1" s="43" t="s">
        <v>231</v>
      </c>
    </row>
    <row r="3" spans="1:3">
      <c r="A3" t="s">
        <v>230</v>
      </c>
      <c r="B3" t="s">
        <v>227</v>
      </c>
      <c r="C3" t="s">
        <v>228</v>
      </c>
    </row>
    <row r="4" spans="1:3">
      <c r="A4" s="42">
        <v>24</v>
      </c>
      <c r="B4" s="39">
        <v>2383517</v>
      </c>
      <c r="C4" s="42">
        <v>637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AEF7-842C-451B-9891-625E4FD00393}">
  <dimension ref="A1:C4"/>
  <sheetViews>
    <sheetView workbookViewId="0"/>
  </sheetViews>
  <sheetFormatPr defaultRowHeight="14"/>
  <cols>
    <col min="1" max="1" width="13.08984375" bestFit="1" customWidth="1"/>
    <col min="2" max="2" width="10.26953125" bestFit="1" customWidth="1"/>
    <col min="3" max="3" width="9.6328125" bestFit="1" customWidth="1"/>
  </cols>
  <sheetData>
    <row r="1" spans="1:3" ht="21">
      <c r="A1" s="43" t="s">
        <v>229</v>
      </c>
    </row>
    <row r="3" spans="1:3">
      <c r="A3" t="s">
        <v>226</v>
      </c>
      <c r="B3" t="s">
        <v>227</v>
      </c>
      <c r="C3" t="s">
        <v>228</v>
      </c>
    </row>
    <row r="4" spans="1:3">
      <c r="A4" s="42">
        <v>24</v>
      </c>
      <c r="B4" s="39">
        <v>2383517</v>
      </c>
      <c r="C4" s="42">
        <v>637</v>
      </c>
    </row>
  </sheetData>
  <phoneticPr fontId="15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2E0-5B00-44DE-A227-03D2025FBE1B}">
  <dimension ref="A1:F25"/>
  <sheetViews>
    <sheetView workbookViewId="0"/>
  </sheetViews>
  <sheetFormatPr defaultRowHeight="14"/>
  <sheetData>
    <row r="1" spans="1:6">
      <c r="A1" s="38" t="s">
        <v>78</v>
      </c>
      <c r="B1" s="38" t="s">
        <v>125</v>
      </c>
      <c r="C1" s="38" t="s">
        <v>211</v>
      </c>
      <c r="D1" s="38" t="s">
        <v>212</v>
      </c>
      <c r="E1" s="38" t="s">
        <v>213</v>
      </c>
      <c r="F1" s="38" t="s">
        <v>214</v>
      </c>
    </row>
    <row r="2" spans="1:6">
      <c r="A2" s="40" t="s">
        <v>215</v>
      </c>
      <c r="B2" s="40" t="s">
        <v>130</v>
      </c>
      <c r="C2" s="40" t="s">
        <v>216</v>
      </c>
      <c r="D2" s="40">
        <v>22</v>
      </c>
      <c r="E2" s="41">
        <v>2106</v>
      </c>
      <c r="F2" s="41">
        <v>46332</v>
      </c>
    </row>
    <row r="3" spans="1:6">
      <c r="A3" t="s">
        <v>215</v>
      </c>
      <c r="B3" t="s">
        <v>133</v>
      </c>
      <c r="C3" t="s">
        <v>217</v>
      </c>
      <c r="D3">
        <v>11</v>
      </c>
      <c r="E3" s="39">
        <v>5643</v>
      </c>
      <c r="F3" s="39">
        <v>62073</v>
      </c>
    </row>
    <row r="4" spans="1:6">
      <c r="A4" s="40" t="s">
        <v>215</v>
      </c>
      <c r="B4" s="40" t="s">
        <v>130</v>
      </c>
      <c r="C4" s="40" t="s">
        <v>218</v>
      </c>
      <c r="D4" s="40">
        <v>32</v>
      </c>
      <c r="E4" s="41">
        <v>360</v>
      </c>
      <c r="F4" s="41">
        <v>11520</v>
      </c>
    </row>
    <row r="5" spans="1:6">
      <c r="A5" t="s">
        <v>215</v>
      </c>
      <c r="B5" t="s">
        <v>130</v>
      </c>
      <c r="C5" t="s">
        <v>216</v>
      </c>
      <c r="D5">
        <v>18</v>
      </c>
      <c r="E5" s="39">
        <v>2005</v>
      </c>
      <c r="F5" s="39">
        <v>36090</v>
      </c>
    </row>
    <row r="6" spans="1:6">
      <c r="A6" s="40" t="s">
        <v>219</v>
      </c>
      <c r="B6" s="40" t="s">
        <v>130</v>
      </c>
      <c r="C6" s="40" t="s">
        <v>218</v>
      </c>
      <c r="D6" s="40">
        <v>17</v>
      </c>
      <c r="E6" s="41">
        <v>5965</v>
      </c>
      <c r="F6" s="41">
        <v>101405</v>
      </c>
    </row>
    <row r="7" spans="1:6">
      <c r="A7" t="s">
        <v>219</v>
      </c>
      <c r="B7" t="s">
        <v>148</v>
      </c>
      <c r="C7" t="s">
        <v>217</v>
      </c>
      <c r="D7">
        <v>33</v>
      </c>
      <c r="E7" s="39">
        <v>4927</v>
      </c>
      <c r="F7" s="39">
        <v>162591</v>
      </c>
    </row>
    <row r="8" spans="1:6">
      <c r="A8" s="40" t="s">
        <v>219</v>
      </c>
      <c r="B8" s="40" t="s">
        <v>136</v>
      </c>
      <c r="C8" s="40" t="s">
        <v>216</v>
      </c>
      <c r="D8" s="40">
        <v>15</v>
      </c>
      <c r="E8" s="41">
        <v>5819</v>
      </c>
      <c r="F8" s="41">
        <v>87285</v>
      </c>
    </row>
    <row r="9" spans="1:6">
      <c r="A9" t="s">
        <v>219</v>
      </c>
      <c r="B9" t="s">
        <v>148</v>
      </c>
      <c r="C9" t="s">
        <v>220</v>
      </c>
      <c r="D9">
        <v>22</v>
      </c>
      <c r="E9" s="39">
        <v>1373</v>
      </c>
      <c r="F9" s="39">
        <v>30206</v>
      </c>
    </row>
    <row r="10" spans="1:6">
      <c r="A10" s="40" t="s">
        <v>221</v>
      </c>
      <c r="B10" s="40" t="s">
        <v>133</v>
      </c>
      <c r="C10" s="40" t="s">
        <v>220</v>
      </c>
      <c r="D10" s="40">
        <v>11</v>
      </c>
      <c r="E10" s="41">
        <v>859</v>
      </c>
      <c r="F10" s="41">
        <v>9449</v>
      </c>
    </row>
    <row r="11" spans="1:6">
      <c r="A11" t="s">
        <v>221</v>
      </c>
      <c r="B11" t="s">
        <v>148</v>
      </c>
      <c r="C11" t="s">
        <v>216</v>
      </c>
      <c r="D11">
        <v>27</v>
      </c>
      <c r="E11" s="39">
        <v>7042</v>
      </c>
      <c r="F11" s="39">
        <v>190134</v>
      </c>
    </row>
    <row r="12" spans="1:6">
      <c r="A12" s="40" t="s">
        <v>221</v>
      </c>
      <c r="B12" s="40" t="s">
        <v>136</v>
      </c>
      <c r="C12" s="40" t="s">
        <v>218</v>
      </c>
      <c r="D12" s="40">
        <v>21</v>
      </c>
      <c r="E12" s="41">
        <v>6711</v>
      </c>
      <c r="F12" s="41">
        <v>140931</v>
      </c>
    </row>
    <row r="13" spans="1:6">
      <c r="A13" t="s">
        <v>221</v>
      </c>
      <c r="B13" t="s">
        <v>130</v>
      </c>
      <c r="C13" t="s">
        <v>222</v>
      </c>
      <c r="D13">
        <v>39</v>
      </c>
      <c r="E13" s="39">
        <v>1122</v>
      </c>
      <c r="F13" s="39">
        <v>43758</v>
      </c>
    </row>
    <row r="14" spans="1:6">
      <c r="A14" s="40" t="s">
        <v>223</v>
      </c>
      <c r="B14" s="40" t="s">
        <v>148</v>
      </c>
      <c r="C14" s="40" t="s">
        <v>216</v>
      </c>
      <c r="D14" s="40">
        <v>40</v>
      </c>
      <c r="E14" s="41">
        <v>2501</v>
      </c>
      <c r="F14" s="41">
        <v>100040</v>
      </c>
    </row>
    <row r="15" spans="1:6">
      <c r="A15" t="s">
        <v>223</v>
      </c>
      <c r="B15" t="s">
        <v>136</v>
      </c>
      <c r="C15" t="s">
        <v>218</v>
      </c>
      <c r="D15">
        <v>17</v>
      </c>
      <c r="E15" s="39">
        <v>5871</v>
      </c>
      <c r="F15" s="39">
        <v>99807</v>
      </c>
    </row>
    <row r="16" spans="1:6">
      <c r="A16" s="40" t="s">
        <v>223</v>
      </c>
      <c r="B16" s="40" t="s">
        <v>130</v>
      </c>
      <c r="C16" s="40" t="s">
        <v>216</v>
      </c>
      <c r="D16" s="40">
        <v>47</v>
      </c>
      <c r="E16" s="41">
        <v>1966</v>
      </c>
      <c r="F16" s="41">
        <v>92402</v>
      </c>
    </row>
    <row r="17" spans="1:6">
      <c r="A17" t="s">
        <v>223</v>
      </c>
      <c r="B17" t="s">
        <v>136</v>
      </c>
      <c r="C17" t="s">
        <v>216</v>
      </c>
      <c r="D17">
        <v>19</v>
      </c>
      <c r="E17" s="39">
        <v>7198</v>
      </c>
      <c r="F17" s="39">
        <v>136762</v>
      </c>
    </row>
    <row r="18" spans="1:6">
      <c r="A18" s="40" t="s">
        <v>224</v>
      </c>
      <c r="B18" s="40" t="s">
        <v>130</v>
      </c>
      <c r="C18" s="40" t="s">
        <v>222</v>
      </c>
      <c r="D18" s="40">
        <v>22</v>
      </c>
      <c r="E18" s="41">
        <v>3814</v>
      </c>
      <c r="F18" s="41">
        <v>83908</v>
      </c>
    </row>
    <row r="19" spans="1:6">
      <c r="A19" t="s">
        <v>224</v>
      </c>
      <c r="B19" t="s">
        <v>136</v>
      </c>
      <c r="C19" t="s">
        <v>217</v>
      </c>
      <c r="D19">
        <v>28</v>
      </c>
      <c r="E19" s="39">
        <v>3010</v>
      </c>
      <c r="F19" s="39">
        <v>84280</v>
      </c>
    </row>
    <row r="20" spans="1:6">
      <c r="A20" s="40" t="s">
        <v>224</v>
      </c>
      <c r="B20" s="40" t="s">
        <v>133</v>
      </c>
      <c r="C20" s="40" t="s">
        <v>220</v>
      </c>
      <c r="D20" s="40">
        <v>49</v>
      </c>
      <c r="E20" s="41">
        <v>7773</v>
      </c>
      <c r="F20" s="41">
        <v>380877</v>
      </c>
    </row>
    <row r="21" spans="1:6">
      <c r="A21" t="s">
        <v>224</v>
      </c>
      <c r="B21" t="s">
        <v>130</v>
      </c>
      <c r="C21" t="s">
        <v>218</v>
      </c>
      <c r="D21">
        <v>45</v>
      </c>
      <c r="E21" s="39">
        <v>1501</v>
      </c>
      <c r="F21" s="39">
        <v>67545</v>
      </c>
    </row>
    <row r="22" spans="1:6">
      <c r="A22" s="40" t="s">
        <v>225</v>
      </c>
      <c r="B22" s="40" t="s">
        <v>133</v>
      </c>
      <c r="C22" s="40" t="s">
        <v>217</v>
      </c>
      <c r="D22" s="40">
        <v>34</v>
      </c>
      <c r="E22" s="41">
        <v>3208</v>
      </c>
      <c r="F22" s="41">
        <v>109072</v>
      </c>
    </row>
    <row r="23" spans="1:6">
      <c r="A23" t="s">
        <v>225</v>
      </c>
      <c r="B23" t="s">
        <v>136</v>
      </c>
      <c r="C23" t="s">
        <v>218</v>
      </c>
      <c r="D23">
        <v>19</v>
      </c>
      <c r="E23" s="39">
        <v>5708</v>
      </c>
      <c r="F23" s="39">
        <v>108452</v>
      </c>
    </row>
    <row r="24" spans="1:6">
      <c r="A24" s="40" t="s">
        <v>225</v>
      </c>
      <c r="B24" s="40" t="s">
        <v>136</v>
      </c>
      <c r="C24" s="40" t="s">
        <v>216</v>
      </c>
      <c r="D24" s="40">
        <v>19</v>
      </c>
      <c r="E24" s="41">
        <v>6832</v>
      </c>
      <c r="F24" s="41">
        <v>129808</v>
      </c>
    </row>
    <row r="25" spans="1:6">
      <c r="A25" t="s">
        <v>225</v>
      </c>
      <c r="B25" t="s">
        <v>130</v>
      </c>
      <c r="C25" t="s">
        <v>220</v>
      </c>
      <c r="D25">
        <v>30</v>
      </c>
      <c r="E25" s="39">
        <v>2293</v>
      </c>
      <c r="F25" s="39">
        <v>68790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1D8D1"/>
  </sheetPr>
  <dimension ref="A1:H37"/>
  <sheetViews>
    <sheetView workbookViewId="0">
      <selection sqref="A1:H1"/>
    </sheetView>
  </sheetViews>
  <sheetFormatPr defaultRowHeight="14"/>
  <cols>
    <col min="1" max="8" width="16" customWidth="1"/>
  </cols>
  <sheetData>
    <row r="1" spans="1:8">
      <c r="A1" s="35" t="s">
        <v>0</v>
      </c>
      <c r="B1" s="33"/>
      <c r="C1" s="33"/>
      <c r="D1" s="33"/>
      <c r="E1" s="33"/>
      <c r="F1" s="33"/>
      <c r="G1" s="33"/>
      <c r="H1" s="33"/>
    </row>
    <row r="2" spans="1:8">
      <c r="A2" s="34"/>
      <c r="B2" s="33"/>
      <c r="C2" s="33"/>
      <c r="D2" s="33"/>
      <c r="E2" s="33"/>
      <c r="F2" s="33"/>
      <c r="G2" s="33"/>
      <c r="H2" s="33"/>
    </row>
    <row r="4" spans="1:8" ht="18">
      <c r="A4" s="32" t="s">
        <v>1</v>
      </c>
      <c r="B4" s="33"/>
      <c r="C4" s="33"/>
      <c r="D4" s="33"/>
      <c r="E4" s="33"/>
      <c r="F4" s="33"/>
      <c r="G4" s="33"/>
      <c r="H4" s="33"/>
    </row>
    <row r="5" spans="1:8" ht="16.5">
      <c r="A5" s="1" t="s">
        <v>2</v>
      </c>
      <c r="B5" s="1" t="s">
        <v>3</v>
      </c>
      <c r="C5" s="1" t="s">
        <v>4</v>
      </c>
    </row>
    <row r="6" spans="1:8" ht="55">
      <c r="A6" s="2" t="s">
        <v>5</v>
      </c>
      <c r="B6" s="3" t="s">
        <v>6</v>
      </c>
      <c r="C6" s="3" t="s">
        <v>7</v>
      </c>
    </row>
    <row r="7" spans="1:8" ht="45">
      <c r="A7" s="4" t="s">
        <v>8</v>
      </c>
      <c r="B7" s="3" t="s">
        <v>9</v>
      </c>
      <c r="C7" s="3" t="s">
        <v>7</v>
      </c>
    </row>
    <row r="8" spans="1:8" ht="20">
      <c r="A8" s="5" t="s">
        <v>10</v>
      </c>
      <c r="B8" s="3" t="s">
        <v>11</v>
      </c>
      <c r="C8" s="3" t="s">
        <v>7</v>
      </c>
    </row>
    <row r="9" spans="1:8" ht="16.5">
      <c r="A9" s="6" t="s">
        <v>12</v>
      </c>
      <c r="B9" s="3" t="s">
        <v>13</v>
      </c>
      <c r="C9" s="3" t="s">
        <v>14</v>
      </c>
    </row>
    <row r="10" spans="1:8" ht="16.5">
      <c r="A10" s="7" t="s">
        <v>15</v>
      </c>
      <c r="B10" s="3" t="s">
        <v>16</v>
      </c>
      <c r="C10" s="3" t="s">
        <v>14</v>
      </c>
    </row>
    <row r="11" spans="1:8" ht="16.5">
      <c r="A11" s="8" t="s">
        <v>17</v>
      </c>
      <c r="B11" s="3" t="s">
        <v>18</v>
      </c>
      <c r="C11" s="3" t="s">
        <v>14</v>
      </c>
    </row>
    <row r="13" spans="1:8" ht="18">
      <c r="A13" s="32" t="s">
        <v>19</v>
      </c>
      <c r="B13" s="33"/>
      <c r="C13" s="33"/>
      <c r="D13" s="33"/>
      <c r="E13" s="33"/>
      <c r="F13" s="33"/>
      <c r="G13" s="33"/>
      <c r="H13" s="33"/>
    </row>
    <row r="14" spans="1:8" ht="16.5">
      <c r="A14" s="1" t="s">
        <v>20</v>
      </c>
      <c r="B14" s="1" t="s">
        <v>21</v>
      </c>
      <c r="C14" s="1" t="s">
        <v>22</v>
      </c>
      <c r="D14" s="1" t="s">
        <v>23</v>
      </c>
    </row>
    <row r="15" spans="1:8" ht="16.5">
      <c r="A15" s="3" t="s">
        <v>24</v>
      </c>
      <c r="B15" s="3" t="s">
        <v>25</v>
      </c>
      <c r="C15" s="3" t="s">
        <v>26</v>
      </c>
      <c r="D15" s="9" t="s">
        <v>27</v>
      </c>
    </row>
    <row r="16" spans="1:8" ht="16.5">
      <c r="A16" s="3" t="s">
        <v>28</v>
      </c>
      <c r="B16" s="3" t="s">
        <v>29</v>
      </c>
      <c r="C16" s="3" t="s">
        <v>30</v>
      </c>
      <c r="D16" s="10" t="s">
        <v>27</v>
      </c>
    </row>
    <row r="17" spans="1:8" ht="16.5">
      <c r="A17" s="3" t="s">
        <v>31</v>
      </c>
      <c r="B17" s="3" t="s">
        <v>32</v>
      </c>
      <c r="C17" s="3" t="s">
        <v>33</v>
      </c>
      <c r="D17" s="11" t="s">
        <v>27</v>
      </c>
    </row>
    <row r="18" spans="1:8" ht="16.5">
      <c r="A18" s="3" t="s">
        <v>34</v>
      </c>
      <c r="B18" s="3" t="s">
        <v>35</v>
      </c>
      <c r="C18" s="3" t="s">
        <v>36</v>
      </c>
      <c r="D18" s="12" t="s">
        <v>27</v>
      </c>
    </row>
    <row r="19" spans="1:8" ht="16.5">
      <c r="A19" s="3" t="s">
        <v>37</v>
      </c>
      <c r="B19" s="3" t="s">
        <v>38</v>
      </c>
      <c r="C19" s="3" t="s">
        <v>39</v>
      </c>
      <c r="D19" s="13" t="s">
        <v>27</v>
      </c>
    </row>
    <row r="20" spans="1:8" ht="16.5">
      <c r="A20" s="3" t="s">
        <v>40</v>
      </c>
      <c r="B20" s="3" t="s">
        <v>41</v>
      </c>
      <c r="C20" s="3" t="s">
        <v>42</v>
      </c>
      <c r="D20" s="14" t="s">
        <v>27</v>
      </c>
    </row>
    <row r="21" spans="1:8" ht="16.5">
      <c r="A21" s="3" t="s">
        <v>43</v>
      </c>
      <c r="B21" s="3" t="s">
        <v>44</v>
      </c>
      <c r="C21" s="3" t="s">
        <v>45</v>
      </c>
      <c r="D21" s="15" t="s">
        <v>27</v>
      </c>
    </row>
    <row r="23" spans="1:8" ht="18">
      <c r="A23" s="32" t="s">
        <v>46</v>
      </c>
      <c r="B23" s="33"/>
      <c r="C23" s="33"/>
      <c r="D23" s="33"/>
      <c r="E23" s="33"/>
      <c r="F23" s="33"/>
      <c r="G23" s="33"/>
      <c r="H23" s="33"/>
    </row>
    <row r="24" spans="1:8" ht="16.5">
      <c r="A24" s="1" t="s">
        <v>2</v>
      </c>
      <c r="B24" s="1" t="s">
        <v>46</v>
      </c>
      <c r="C24" s="1" t="s">
        <v>47</v>
      </c>
    </row>
    <row r="25" spans="1:8" ht="29">
      <c r="A25" s="3" t="s">
        <v>48</v>
      </c>
      <c r="B25" s="3" t="s">
        <v>49</v>
      </c>
      <c r="C25" s="16" t="s">
        <v>50</v>
      </c>
    </row>
    <row r="26" spans="1:8" ht="29">
      <c r="A26" s="3" t="s">
        <v>51</v>
      </c>
      <c r="B26" s="3" t="s">
        <v>52</v>
      </c>
      <c r="C26" s="16" t="s">
        <v>53</v>
      </c>
    </row>
    <row r="27" spans="1:8" ht="29">
      <c r="A27" s="3" t="s">
        <v>54</v>
      </c>
      <c r="B27" s="3" t="s">
        <v>55</v>
      </c>
      <c r="C27" s="16" t="s">
        <v>56</v>
      </c>
    </row>
    <row r="28" spans="1:8" ht="33">
      <c r="A28" s="3" t="s">
        <v>57</v>
      </c>
      <c r="B28" s="3" t="s">
        <v>58</v>
      </c>
      <c r="C28" s="16" t="s">
        <v>59</v>
      </c>
    </row>
    <row r="30" spans="1:8" ht="18">
      <c r="A30" s="32" t="s">
        <v>60</v>
      </c>
      <c r="B30" s="33"/>
      <c r="C30" s="33"/>
      <c r="D30" s="33"/>
      <c r="E30" s="33"/>
      <c r="F30" s="33"/>
      <c r="G30" s="33"/>
      <c r="H30" s="33"/>
    </row>
    <row r="31" spans="1:8" ht="16.5">
      <c r="A31" s="1" t="s">
        <v>61</v>
      </c>
      <c r="B31" s="1" t="s">
        <v>62</v>
      </c>
      <c r="C31" s="1" t="s">
        <v>63</v>
      </c>
      <c r="D31" s="1" t="s">
        <v>2</v>
      </c>
    </row>
    <row r="32" spans="1:8" ht="16.5">
      <c r="A32" s="3" t="s">
        <v>64</v>
      </c>
      <c r="B32" s="3" t="s">
        <v>65</v>
      </c>
      <c r="C32" s="3" t="s">
        <v>66</v>
      </c>
      <c r="D32" s="17">
        <v>3.1415899999999999</v>
      </c>
    </row>
    <row r="33" spans="1:4" ht="16.5">
      <c r="A33" s="3" t="s">
        <v>67</v>
      </c>
      <c r="B33" s="3" t="s">
        <v>68</v>
      </c>
      <c r="C33" s="3" t="s">
        <v>69</v>
      </c>
      <c r="D33" s="18">
        <v>12345.67</v>
      </c>
    </row>
    <row r="34" spans="1:4" ht="16.5">
      <c r="A34" s="3" t="s">
        <v>70</v>
      </c>
      <c r="B34" s="3" t="s">
        <v>71</v>
      </c>
      <c r="C34" s="3" t="s">
        <v>72</v>
      </c>
      <c r="D34" s="19">
        <v>0.85599999999999998</v>
      </c>
    </row>
    <row r="35" spans="1:4" ht="16.5">
      <c r="A35" s="3" t="s">
        <v>73</v>
      </c>
      <c r="B35" s="3" t="s">
        <v>74</v>
      </c>
      <c r="C35" s="3" t="s">
        <v>75</v>
      </c>
      <c r="D35" s="20">
        <v>168</v>
      </c>
    </row>
    <row r="36" spans="1:4" ht="16.5">
      <c r="A36" s="3" t="s">
        <v>76</v>
      </c>
      <c r="B36" s="3" t="s">
        <v>77</v>
      </c>
      <c r="C36" s="3" t="s">
        <v>78</v>
      </c>
      <c r="D36" s="21" t="s">
        <v>76</v>
      </c>
    </row>
    <row r="37" spans="1:4" ht="16.5">
      <c r="A37" s="3" t="s">
        <v>79</v>
      </c>
      <c r="B37" s="3" t="s">
        <v>80</v>
      </c>
      <c r="C37" s="3" t="s">
        <v>81</v>
      </c>
      <c r="D37" s="22" t="s">
        <v>79</v>
      </c>
    </row>
  </sheetData>
  <mergeCells count="6">
    <mergeCell ref="A4:H4"/>
    <mergeCell ref="A30:H30"/>
    <mergeCell ref="A2:H2"/>
    <mergeCell ref="A13:H13"/>
    <mergeCell ref="A1:H1"/>
    <mergeCell ref="A23:H23"/>
  </mergeCells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BDB4"/>
  </sheetPr>
  <dimension ref="A1:H28"/>
  <sheetViews>
    <sheetView workbookViewId="0"/>
  </sheetViews>
  <sheetFormatPr defaultRowHeight="14"/>
  <cols>
    <col min="1" max="8" width="16" customWidth="1"/>
  </cols>
  <sheetData>
    <row r="1" spans="1:8">
      <c r="A1" s="35" t="s">
        <v>82</v>
      </c>
      <c r="B1" s="33"/>
      <c r="C1" s="33"/>
      <c r="D1" s="33"/>
      <c r="E1" s="33"/>
      <c r="F1" s="33"/>
      <c r="G1" s="33"/>
      <c r="H1" s="33"/>
    </row>
    <row r="2" spans="1:8">
      <c r="A2" s="34"/>
      <c r="B2" s="33"/>
      <c r="C2" s="33"/>
      <c r="D2" s="33"/>
      <c r="E2" s="33"/>
      <c r="F2" s="33"/>
      <c r="G2" s="33"/>
      <c r="H2" s="33"/>
    </row>
    <row r="4" spans="1:8" ht="18">
      <c r="A4" s="32" t="s">
        <v>83</v>
      </c>
      <c r="B4" s="33"/>
      <c r="C4" s="33"/>
      <c r="D4" s="33"/>
      <c r="E4" s="33"/>
      <c r="F4" s="33"/>
      <c r="G4" s="33"/>
      <c r="H4" s="33"/>
    </row>
    <row r="5" spans="1:8" ht="16.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</row>
    <row r="6" spans="1:8" ht="16.5">
      <c r="A6" s="3" t="s">
        <v>90</v>
      </c>
      <c r="B6" s="23">
        <v>12000</v>
      </c>
      <c r="C6" s="23">
        <v>8500</v>
      </c>
      <c r="D6" s="23">
        <v>6200</v>
      </c>
      <c r="E6" s="24">
        <f t="shared" ref="E6:E11" si="0">SUM(B6:D6)</f>
        <v>26700</v>
      </c>
      <c r="F6" s="3"/>
    </row>
    <row r="7" spans="1:8" ht="16.5">
      <c r="A7" s="25" t="s">
        <v>91</v>
      </c>
      <c r="B7" s="26">
        <v>15000</v>
      </c>
      <c r="C7" s="26">
        <v>9200</v>
      </c>
      <c r="D7" s="26">
        <v>7100</v>
      </c>
      <c r="E7" s="27">
        <f t="shared" si="0"/>
        <v>31300</v>
      </c>
      <c r="F7" s="28">
        <f>(E7-E6)/E6</f>
        <v>0.17228464419475656</v>
      </c>
    </row>
    <row r="8" spans="1:8" ht="16.5">
      <c r="A8" s="3" t="s">
        <v>92</v>
      </c>
      <c r="B8" s="23">
        <v>13500</v>
      </c>
      <c r="C8" s="23">
        <v>11000</v>
      </c>
      <c r="D8" s="23">
        <v>8300</v>
      </c>
      <c r="E8" s="24">
        <f t="shared" si="0"/>
        <v>32800</v>
      </c>
      <c r="F8" s="19">
        <f>(E8-E7)/E7</f>
        <v>4.7923322683706068E-2</v>
      </c>
    </row>
    <row r="9" spans="1:8" ht="16.5">
      <c r="A9" s="25" t="s">
        <v>93</v>
      </c>
      <c r="B9" s="26">
        <v>18000</v>
      </c>
      <c r="C9" s="26">
        <v>10500</v>
      </c>
      <c r="D9" s="26">
        <v>9500</v>
      </c>
      <c r="E9" s="27">
        <f t="shared" si="0"/>
        <v>38000</v>
      </c>
      <c r="F9" s="28">
        <f>(E9-E8)/E8</f>
        <v>0.15853658536585366</v>
      </c>
    </row>
    <row r="10" spans="1:8" ht="16.5">
      <c r="A10" s="3" t="s">
        <v>94</v>
      </c>
      <c r="B10" s="23">
        <v>21000</v>
      </c>
      <c r="C10" s="23">
        <v>12800</v>
      </c>
      <c r="D10" s="23">
        <v>11200</v>
      </c>
      <c r="E10" s="24">
        <f t="shared" si="0"/>
        <v>45000</v>
      </c>
      <c r="F10" s="19">
        <f>(E10-E9)/E9</f>
        <v>0.18421052631578946</v>
      </c>
    </row>
    <row r="11" spans="1:8" ht="16.5">
      <c r="A11" s="25" t="s">
        <v>95</v>
      </c>
      <c r="B11" s="26">
        <v>19500</v>
      </c>
      <c r="C11" s="26">
        <v>14200</v>
      </c>
      <c r="D11" s="26">
        <v>10800</v>
      </c>
      <c r="E11" s="27">
        <f t="shared" si="0"/>
        <v>44500</v>
      </c>
      <c r="F11" s="28">
        <f>(E11-E10)/E10</f>
        <v>-1.1111111111111112E-2</v>
      </c>
    </row>
    <row r="13" spans="1:8" ht="18">
      <c r="A13" s="32" t="s">
        <v>96</v>
      </c>
      <c r="B13" s="33"/>
      <c r="C13" s="33"/>
      <c r="D13" s="33"/>
      <c r="E13" s="33"/>
      <c r="F13" s="33"/>
      <c r="G13" s="33"/>
      <c r="H13" s="33"/>
    </row>
    <row r="14" spans="1:8" ht="15.5">
      <c r="A14" s="36" t="s">
        <v>97</v>
      </c>
      <c r="B14" s="33"/>
      <c r="C14" s="33"/>
      <c r="D14" s="33"/>
      <c r="E14" s="33"/>
      <c r="F14" s="33"/>
    </row>
    <row r="17" spans="1:8" ht="18">
      <c r="A17" s="32" t="s">
        <v>98</v>
      </c>
      <c r="B17" s="33"/>
      <c r="C17" s="33"/>
      <c r="D17" s="33"/>
      <c r="E17" s="33"/>
      <c r="F17" s="33"/>
      <c r="G17" s="33"/>
      <c r="H17" s="33"/>
    </row>
    <row r="20" spans="1:8" ht="18">
      <c r="A20" s="32" t="s">
        <v>99</v>
      </c>
      <c r="B20" s="33"/>
      <c r="C20" s="33"/>
      <c r="D20" s="33"/>
      <c r="E20" s="33"/>
      <c r="F20" s="33"/>
      <c r="G20" s="33"/>
      <c r="H20" s="33"/>
    </row>
    <row r="23" spans="1:8" ht="18">
      <c r="A23" s="32" t="s">
        <v>100</v>
      </c>
      <c r="B23" s="33"/>
      <c r="C23" s="33"/>
      <c r="D23" s="33"/>
      <c r="E23" s="33"/>
      <c r="F23" s="33"/>
      <c r="G23" s="33"/>
      <c r="H23" s="33"/>
    </row>
    <row r="24" spans="1:8" ht="16.5">
      <c r="A24" s="1" t="s">
        <v>101</v>
      </c>
      <c r="B24" s="1" t="s">
        <v>102</v>
      </c>
      <c r="C24" s="1" t="s">
        <v>103</v>
      </c>
    </row>
    <row r="25" spans="1:8" ht="16.5">
      <c r="A25" s="3" t="s">
        <v>104</v>
      </c>
      <c r="B25" s="3" t="s">
        <v>105</v>
      </c>
      <c r="C25" s="3" t="s">
        <v>106</v>
      </c>
    </row>
    <row r="26" spans="1:8" ht="16.5">
      <c r="A26" s="3" t="s">
        <v>107</v>
      </c>
      <c r="B26" s="3" t="s">
        <v>108</v>
      </c>
      <c r="C26" s="3" t="s">
        <v>109</v>
      </c>
    </row>
    <row r="27" spans="1:8" ht="16.5">
      <c r="A27" s="3" t="s">
        <v>110</v>
      </c>
      <c r="B27" s="3" t="s">
        <v>111</v>
      </c>
      <c r="C27" s="3" t="s">
        <v>112</v>
      </c>
    </row>
    <row r="28" spans="1:8" ht="16.5">
      <c r="A28" s="3" t="s">
        <v>113</v>
      </c>
      <c r="B28" s="3" t="s">
        <v>114</v>
      </c>
      <c r="C28" s="3" t="s">
        <v>112</v>
      </c>
    </row>
  </sheetData>
  <mergeCells count="8">
    <mergeCell ref="A1:H1"/>
    <mergeCell ref="A23:H23"/>
    <mergeCell ref="A17:H17"/>
    <mergeCell ref="A4:H4"/>
    <mergeCell ref="A14:F14"/>
    <mergeCell ref="A20:H20"/>
    <mergeCell ref="A2:H2"/>
    <mergeCell ref="A13:H13"/>
  </mergeCells>
  <phoneticPr fontId="15" type="noConversion"/>
  <conditionalFormatting sqref="B7:B12">
    <cfRule type="dataBar" priority="3">
      <dataBar>
        <cfvo type="min"/>
        <cfvo type="max"/>
        <color rgb="FF81D8D1"/>
      </dataBar>
    </cfRule>
  </conditionalFormatting>
  <conditionalFormatting sqref="C7:C12">
    <cfRule type="colorScale" priority="4">
      <colorScale>
        <cfvo type="min"/>
        <cfvo type="percentile" val="50"/>
        <cfvo type="max"/>
        <color rgb="FFFDF9EC"/>
        <color rgb="FFA8E0D8"/>
        <color rgb="FF81D8D1"/>
      </colorScale>
    </cfRule>
  </conditionalFormatting>
  <conditionalFormatting sqref="F7:F12">
    <cfRule type="cellIs" dxfId="6" priority="1" operator="greaterThan">
      <formula>0.1</formula>
    </cfRule>
    <cfRule type="cellIs" dxfId="5" priority="2" operator="lessThan">
      <formula>0</formula>
    </cfRule>
  </conditionalFormatting>
  <dataValidations count="1">
    <dataValidation type="list" allowBlank="1" errorTitle="输入错误" error="请从下拉列表中选择" promptTitle="状态" prompt="选择状态" sqref="C25 C26 C27 C28" xr:uid="{00000000-0002-0000-0100-000000000000}">
      <formula1>"待处理,进行中,已完成"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E0D8"/>
  </sheetPr>
  <dimension ref="A1:H29"/>
  <sheetViews>
    <sheetView workbookViewId="0"/>
  </sheetViews>
  <sheetFormatPr defaultRowHeight="14"/>
  <cols>
    <col min="1" max="8" width="14" customWidth="1"/>
  </cols>
  <sheetData>
    <row r="1" spans="1:8">
      <c r="A1" s="35" t="s">
        <v>115</v>
      </c>
      <c r="B1" s="33"/>
      <c r="C1" s="33"/>
      <c r="D1" s="33"/>
      <c r="E1" s="33"/>
      <c r="F1" s="33"/>
      <c r="G1" s="33"/>
      <c r="H1" s="33"/>
    </row>
    <row r="2" spans="1:8">
      <c r="A2" s="34"/>
      <c r="B2" s="33"/>
      <c r="C2" s="33"/>
      <c r="D2" s="33"/>
      <c r="E2" s="33"/>
      <c r="F2" s="33"/>
      <c r="G2" s="33"/>
      <c r="H2" s="33"/>
    </row>
    <row r="4" spans="1:8" ht="16.5">
      <c r="A4" s="1" t="s">
        <v>84</v>
      </c>
      <c r="B4" s="1" t="s">
        <v>116</v>
      </c>
      <c r="C4" s="1" t="s">
        <v>117</v>
      </c>
      <c r="D4" s="1" t="s">
        <v>118</v>
      </c>
    </row>
    <row r="5" spans="1:8" ht="16.5">
      <c r="A5" s="3" t="s">
        <v>90</v>
      </c>
      <c r="B5" s="23">
        <v>12000</v>
      </c>
      <c r="C5" s="23">
        <v>7200</v>
      </c>
      <c r="D5" s="23">
        <v>4800</v>
      </c>
    </row>
    <row r="6" spans="1:8" ht="16.5">
      <c r="A6" s="3" t="s">
        <v>91</v>
      </c>
      <c r="B6" s="23">
        <v>15000</v>
      </c>
      <c r="C6" s="23">
        <v>8500</v>
      </c>
      <c r="D6" s="23">
        <v>6500</v>
      </c>
    </row>
    <row r="7" spans="1:8" ht="16.5">
      <c r="A7" s="3" t="s">
        <v>92</v>
      </c>
      <c r="B7" s="23">
        <v>13500</v>
      </c>
      <c r="C7" s="23">
        <v>7800</v>
      </c>
      <c r="D7" s="23">
        <v>5700</v>
      </c>
    </row>
    <row r="8" spans="1:8" ht="16.5">
      <c r="A8" s="3" t="s">
        <v>93</v>
      </c>
      <c r="B8" s="23">
        <v>18000</v>
      </c>
      <c r="C8" s="23">
        <v>9800</v>
      </c>
      <c r="D8" s="23">
        <v>8200</v>
      </c>
    </row>
    <row r="9" spans="1:8" ht="16.5">
      <c r="A9" s="3" t="s">
        <v>94</v>
      </c>
      <c r="B9" s="23">
        <v>21000</v>
      </c>
      <c r="C9" s="23">
        <v>11000</v>
      </c>
      <c r="D9" s="23">
        <v>10000</v>
      </c>
    </row>
    <row r="10" spans="1:8" ht="16.5">
      <c r="A10" s="3" t="s">
        <v>95</v>
      </c>
      <c r="B10" s="23">
        <v>19500</v>
      </c>
      <c r="C10" s="23">
        <v>10200</v>
      </c>
      <c r="D10" s="23">
        <v>9300</v>
      </c>
    </row>
    <row r="12" spans="1:8" ht="18">
      <c r="A12" s="32" t="s">
        <v>119</v>
      </c>
      <c r="B12" s="33"/>
      <c r="C12" s="33"/>
      <c r="D12" s="33"/>
      <c r="E12" s="33"/>
      <c r="F12" s="33"/>
      <c r="G12" s="33"/>
      <c r="H12" s="33"/>
    </row>
    <row r="28" spans="1:8" ht="18">
      <c r="A28" s="32" t="s">
        <v>120</v>
      </c>
      <c r="B28" s="33"/>
      <c r="C28" s="33"/>
      <c r="D28" s="33"/>
      <c r="E28" s="33"/>
      <c r="F28" s="33"/>
      <c r="G28" s="33"/>
      <c r="H28" s="33"/>
    </row>
    <row r="29" spans="1:8" ht="18">
      <c r="A29" s="32" t="s">
        <v>121</v>
      </c>
      <c r="B29" s="33"/>
      <c r="C29" s="33"/>
      <c r="D29" s="33"/>
      <c r="E29" s="33"/>
      <c r="F29" s="33"/>
      <c r="G29" s="33"/>
      <c r="H29" s="33"/>
    </row>
  </sheetData>
  <mergeCells count="5">
    <mergeCell ref="A12:H12"/>
    <mergeCell ref="A29:H29"/>
    <mergeCell ref="A2:H2"/>
    <mergeCell ref="A28:H28"/>
    <mergeCell ref="A1:H1"/>
  </mergeCells>
  <phoneticPr fontId="15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CBDB4"/>
  </sheetPr>
  <dimension ref="A1:H32"/>
  <sheetViews>
    <sheetView workbookViewId="0">
      <pane ySplit="5" topLeftCell="A6" activePane="bottomLeft" state="frozen"/>
      <selection pane="bottomLeft"/>
    </sheetView>
  </sheetViews>
  <sheetFormatPr defaultRowHeight="14"/>
  <cols>
    <col min="1" max="8" width="16" customWidth="1"/>
  </cols>
  <sheetData>
    <row r="1" spans="1:8">
      <c r="A1" s="35" t="s">
        <v>122</v>
      </c>
      <c r="B1" s="33"/>
      <c r="C1" s="33"/>
      <c r="D1" s="33"/>
      <c r="E1" s="33"/>
      <c r="F1" s="33"/>
      <c r="G1" s="33"/>
      <c r="H1" s="33"/>
    </row>
    <row r="2" spans="1:8">
      <c r="A2" s="34"/>
      <c r="B2" s="33"/>
      <c r="C2" s="33"/>
      <c r="D2" s="33"/>
      <c r="E2" s="33"/>
      <c r="F2" s="33"/>
      <c r="G2" s="33"/>
      <c r="H2" s="33"/>
    </row>
    <row r="4" spans="1:8" ht="18">
      <c r="A4" s="32" t="s">
        <v>123</v>
      </c>
      <c r="B4" s="33"/>
      <c r="C4" s="33"/>
      <c r="D4" s="33"/>
      <c r="E4" s="33"/>
      <c r="F4" s="33"/>
      <c r="G4" s="33"/>
      <c r="H4" s="33"/>
    </row>
    <row r="5" spans="1:8" ht="16.5">
      <c r="A5" s="1" t="s">
        <v>124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</row>
    <row r="6" spans="1:8" ht="16.5">
      <c r="A6" s="3" t="s">
        <v>105</v>
      </c>
      <c r="B6" s="3" t="s">
        <v>130</v>
      </c>
      <c r="C6" s="3" t="s">
        <v>131</v>
      </c>
      <c r="D6" s="20">
        <v>25000</v>
      </c>
      <c r="E6" s="3" t="s">
        <v>132</v>
      </c>
      <c r="F6" s="20">
        <v>5000</v>
      </c>
    </row>
    <row r="7" spans="1:8" ht="16.5">
      <c r="A7" s="3" t="s">
        <v>108</v>
      </c>
      <c r="B7" s="3" t="s">
        <v>133</v>
      </c>
      <c r="C7" s="3" t="s">
        <v>134</v>
      </c>
      <c r="D7" s="20">
        <v>22000</v>
      </c>
      <c r="E7" s="3" t="s">
        <v>135</v>
      </c>
      <c r="F7" s="20">
        <v>3000</v>
      </c>
    </row>
    <row r="8" spans="1:8" ht="16.5">
      <c r="A8" s="3" t="s">
        <v>111</v>
      </c>
      <c r="B8" s="3" t="s">
        <v>136</v>
      </c>
      <c r="C8" s="3" t="s">
        <v>137</v>
      </c>
      <c r="D8" s="20">
        <v>18000</v>
      </c>
      <c r="E8" s="3" t="s">
        <v>132</v>
      </c>
      <c r="F8" s="20">
        <v>4000</v>
      </c>
    </row>
    <row r="9" spans="1:8" ht="16.5">
      <c r="A9" s="3" t="s">
        <v>114</v>
      </c>
      <c r="B9" s="3" t="s">
        <v>138</v>
      </c>
      <c r="C9" s="3" t="s">
        <v>139</v>
      </c>
      <c r="D9" s="20">
        <v>20000</v>
      </c>
      <c r="E9" s="3" t="s">
        <v>140</v>
      </c>
      <c r="F9" s="20">
        <v>2000</v>
      </c>
    </row>
    <row r="10" spans="1:8" ht="16.5">
      <c r="A10" s="3" t="s">
        <v>141</v>
      </c>
      <c r="B10" s="3" t="s">
        <v>130</v>
      </c>
      <c r="C10" s="3" t="s">
        <v>142</v>
      </c>
      <c r="D10" s="20">
        <v>19000</v>
      </c>
      <c r="E10" s="3" t="s">
        <v>143</v>
      </c>
      <c r="F10" s="20">
        <v>3500</v>
      </c>
    </row>
    <row r="11" spans="1:8" ht="16.5">
      <c r="A11" s="3" t="s">
        <v>144</v>
      </c>
      <c r="B11" s="3" t="s">
        <v>145</v>
      </c>
      <c r="C11" s="3" t="s">
        <v>146</v>
      </c>
      <c r="D11" s="20">
        <v>17000</v>
      </c>
      <c r="E11" s="3" t="s">
        <v>135</v>
      </c>
      <c r="F11" s="20">
        <v>2500</v>
      </c>
    </row>
    <row r="12" spans="1:8" ht="16.5">
      <c r="A12" s="3" t="s">
        <v>147</v>
      </c>
      <c r="B12" s="3" t="s">
        <v>148</v>
      </c>
      <c r="C12" s="3" t="s">
        <v>149</v>
      </c>
      <c r="D12" s="20">
        <v>15000</v>
      </c>
      <c r="E12" s="3" t="s">
        <v>150</v>
      </c>
      <c r="F12" s="20">
        <v>1000</v>
      </c>
    </row>
    <row r="13" spans="1:8" ht="16.5">
      <c r="A13" s="3" t="s">
        <v>151</v>
      </c>
      <c r="B13" s="3" t="s">
        <v>152</v>
      </c>
      <c r="C13" s="3" t="s">
        <v>153</v>
      </c>
      <c r="D13" s="20">
        <v>23000</v>
      </c>
      <c r="E13" s="3" t="s">
        <v>132</v>
      </c>
      <c r="F13" s="20">
        <v>6000</v>
      </c>
    </row>
    <row r="14" spans="1:8" ht="16.5">
      <c r="A14" s="3" t="s">
        <v>154</v>
      </c>
      <c r="B14" s="3" t="s">
        <v>130</v>
      </c>
      <c r="C14" s="3" t="s">
        <v>155</v>
      </c>
      <c r="D14" s="20">
        <v>30000</v>
      </c>
      <c r="E14" s="3" t="s">
        <v>156</v>
      </c>
      <c r="F14" s="20">
        <v>10000</v>
      </c>
    </row>
    <row r="15" spans="1:8" ht="16.5">
      <c r="A15" s="3" t="s">
        <v>157</v>
      </c>
      <c r="B15" s="3" t="s">
        <v>133</v>
      </c>
      <c r="C15" s="3" t="s">
        <v>158</v>
      </c>
      <c r="D15" s="20">
        <v>28000</v>
      </c>
      <c r="E15" s="3" t="s">
        <v>159</v>
      </c>
      <c r="F15" s="20">
        <v>8000</v>
      </c>
    </row>
    <row r="17" spans="1:8" ht="18">
      <c r="A17" s="32" t="s">
        <v>160</v>
      </c>
      <c r="B17" s="33"/>
      <c r="C17" s="33"/>
      <c r="D17" s="33"/>
      <c r="E17" s="33"/>
      <c r="F17" s="33"/>
      <c r="G17" s="33"/>
      <c r="H17" s="33"/>
    </row>
    <row r="20" spans="1:8" ht="18">
      <c r="A20" s="32" t="s">
        <v>161</v>
      </c>
      <c r="B20" s="33"/>
      <c r="C20" s="33"/>
      <c r="D20" s="33"/>
      <c r="E20" s="33"/>
      <c r="F20" s="33"/>
      <c r="G20" s="33"/>
      <c r="H20" s="33"/>
    </row>
    <row r="21" spans="1:8" ht="15.5">
      <c r="A21" s="36" t="s">
        <v>162</v>
      </c>
      <c r="B21" s="33"/>
      <c r="C21" s="33"/>
      <c r="D21" s="33"/>
      <c r="E21" s="33"/>
      <c r="F21" s="33"/>
    </row>
    <row r="24" spans="1:8" ht="18">
      <c r="A24" s="32" t="s">
        <v>163</v>
      </c>
      <c r="B24" s="33"/>
      <c r="C24" s="33"/>
      <c r="D24" s="33"/>
      <c r="E24" s="33"/>
      <c r="F24" s="33"/>
      <c r="G24" s="33"/>
      <c r="H24" s="33"/>
    </row>
    <row r="25" spans="1:8" ht="16.5">
      <c r="A25" s="1" t="s">
        <v>164</v>
      </c>
      <c r="B25" s="1" t="s">
        <v>165</v>
      </c>
      <c r="C25" s="1" t="s">
        <v>63</v>
      </c>
    </row>
    <row r="26" spans="1:8" ht="16.5">
      <c r="A26" s="3" t="s">
        <v>166</v>
      </c>
      <c r="B26" s="29">
        <f>SUM(B2:B10)</f>
        <v>0</v>
      </c>
      <c r="C26" s="3" t="s">
        <v>167</v>
      </c>
    </row>
    <row r="27" spans="1:8" ht="16.5">
      <c r="A27" s="3" t="s">
        <v>168</v>
      </c>
      <c r="B27" s="29" t="e">
        <f>AVERAGE(B2:B10)</f>
        <v>#DIV/0!</v>
      </c>
      <c r="C27" s="3" t="s">
        <v>169</v>
      </c>
    </row>
    <row r="28" spans="1:8" ht="16.5">
      <c r="A28" s="3" t="s">
        <v>170</v>
      </c>
      <c r="B28" s="29">
        <f>MAX(B2:B10)</f>
        <v>0</v>
      </c>
      <c r="C28" s="3" t="s">
        <v>171</v>
      </c>
    </row>
    <row r="29" spans="1:8" ht="16.5">
      <c r="A29" s="3" t="s">
        <v>172</v>
      </c>
      <c r="B29" s="29">
        <f>COUNT(B2:B10)</f>
        <v>0</v>
      </c>
      <c r="C29" s="3" t="s">
        <v>173</v>
      </c>
    </row>
    <row r="30" spans="1:8" ht="16.5">
      <c r="A30" s="3" t="s">
        <v>174</v>
      </c>
      <c r="B30" s="29">
        <f>COUNTIF(B2:B10,"&gt;20000")</f>
        <v>0</v>
      </c>
      <c r="C30" s="3" t="s">
        <v>175</v>
      </c>
    </row>
    <row r="31" spans="1:8" ht="16.5">
      <c r="A31" s="3" t="s">
        <v>176</v>
      </c>
      <c r="B31" s="29">
        <f>VLOOKUP("张三",A2:F10,4,FALSE)</f>
        <v>25000</v>
      </c>
      <c r="C31" s="3" t="s">
        <v>177</v>
      </c>
    </row>
    <row r="32" spans="1:8" ht="16.5">
      <c r="A32" s="3" t="s">
        <v>178</v>
      </c>
      <c r="B32" s="29">
        <f>SUMIF(C2:C10,"技术部",D2:D10)</f>
        <v>0</v>
      </c>
      <c r="C32" s="3" t="s">
        <v>179</v>
      </c>
    </row>
  </sheetData>
  <autoFilter ref="A5:F15" xr:uid="{00000000-0009-0000-0000-000003000000}"/>
  <mergeCells count="7">
    <mergeCell ref="A4:H4"/>
    <mergeCell ref="A20:H20"/>
    <mergeCell ref="A24:H24"/>
    <mergeCell ref="A2:H2"/>
    <mergeCell ref="A1:H1"/>
    <mergeCell ref="A21:F21"/>
    <mergeCell ref="A17:H17"/>
  </mergeCells>
  <phoneticPr fontId="15" type="noConversion"/>
  <pageMargins left="0.6" right="0.6" top="0.8" bottom="0.8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6D50"/>
  </sheetPr>
  <dimension ref="A1:I12"/>
  <sheetViews>
    <sheetView workbookViewId="0">
      <pane ySplit="4" topLeftCell="A5" activePane="bottomLeft" state="frozen"/>
      <selection pane="bottomLeft"/>
    </sheetView>
  </sheetViews>
  <sheetFormatPr defaultRowHeight="14"/>
  <cols>
    <col min="1" max="9" width="14" customWidth="1"/>
  </cols>
  <sheetData>
    <row r="1" spans="1:9">
      <c r="A1" s="35" t="s">
        <v>180</v>
      </c>
      <c r="B1" s="33"/>
      <c r="C1" s="33"/>
      <c r="D1" s="33"/>
      <c r="E1" s="33"/>
      <c r="F1" s="33"/>
      <c r="G1" s="33"/>
      <c r="H1" s="33"/>
      <c r="I1" s="33"/>
    </row>
    <row r="2" spans="1:9">
      <c r="A2" s="37"/>
      <c r="B2" s="33"/>
      <c r="C2" s="33"/>
      <c r="D2" s="33"/>
      <c r="E2" s="33"/>
      <c r="F2" s="33"/>
      <c r="G2" s="33"/>
      <c r="H2" s="33"/>
      <c r="I2" s="33"/>
    </row>
    <row r="4" spans="1:9" ht="16.5">
      <c r="A4" s="30" t="s">
        <v>101</v>
      </c>
      <c r="B4" s="30" t="s">
        <v>102</v>
      </c>
      <c r="C4" s="30" t="s">
        <v>181</v>
      </c>
      <c r="D4" s="30" t="s">
        <v>182</v>
      </c>
      <c r="E4" s="30" t="s">
        <v>183</v>
      </c>
      <c r="F4" s="30" t="s">
        <v>103</v>
      </c>
      <c r="G4" s="30" t="s">
        <v>184</v>
      </c>
      <c r="H4" s="30" t="s">
        <v>185</v>
      </c>
    </row>
    <row r="5" spans="1:9" ht="16.5">
      <c r="A5" s="3" t="s">
        <v>186</v>
      </c>
      <c r="B5" s="3" t="s">
        <v>105</v>
      </c>
      <c r="C5" s="3" t="s">
        <v>187</v>
      </c>
      <c r="D5" s="3" t="s">
        <v>188</v>
      </c>
      <c r="E5" s="31">
        <v>1</v>
      </c>
      <c r="F5" s="3" t="s">
        <v>106</v>
      </c>
      <c r="G5" s="3" t="s">
        <v>189</v>
      </c>
      <c r="H5" s="3" t="s">
        <v>190</v>
      </c>
    </row>
    <row r="6" spans="1:9" ht="16.5">
      <c r="A6" s="3" t="s">
        <v>107</v>
      </c>
      <c r="B6" s="3" t="s">
        <v>108</v>
      </c>
      <c r="C6" s="3" t="s">
        <v>191</v>
      </c>
      <c r="D6" s="3" t="s">
        <v>76</v>
      </c>
      <c r="E6" s="31">
        <v>0.8</v>
      </c>
      <c r="F6" s="3" t="s">
        <v>109</v>
      </c>
      <c r="G6" s="3" t="s">
        <v>192</v>
      </c>
      <c r="H6" s="3" t="s">
        <v>193</v>
      </c>
    </row>
    <row r="7" spans="1:9" ht="16.5">
      <c r="A7" s="3" t="s">
        <v>194</v>
      </c>
      <c r="B7" s="3" t="s">
        <v>111</v>
      </c>
      <c r="C7" s="3" t="s">
        <v>195</v>
      </c>
      <c r="D7" s="3" t="s">
        <v>196</v>
      </c>
      <c r="E7" s="31">
        <v>1</v>
      </c>
      <c r="F7" s="3" t="s">
        <v>106</v>
      </c>
      <c r="G7" s="3" t="s">
        <v>189</v>
      </c>
      <c r="H7" s="3"/>
    </row>
    <row r="8" spans="1:9" ht="33">
      <c r="A8" s="3" t="s">
        <v>110</v>
      </c>
      <c r="B8" s="3" t="s">
        <v>105</v>
      </c>
      <c r="C8" s="3" t="s">
        <v>197</v>
      </c>
      <c r="D8" s="3" t="s">
        <v>198</v>
      </c>
      <c r="E8" s="31">
        <v>0.45</v>
      </c>
      <c r="F8" s="3" t="s">
        <v>109</v>
      </c>
      <c r="G8" s="3" t="s">
        <v>189</v>
      </c>
      <c r="H8" s="3" t="s">
        <v>199</v>
      </c>
    </row>
    <row r="9" spans="1:9" ht="16.5">
      <c r="A9" s="3" t="s">
        <v>142</v>
      </c>
      <c r="B9" s="3" t="s">
        <v>114</v>
      </c>
      <c r="C9" s="3" t="s">
        <v>196</v>
      </c>
      <c r="D9" s="3" t="s">
        <v>200</v>
      </c>
      <c r="E9" s="31">
        <v>0.2</v>
      </c>
      <c r="F9" s="3" t="s">
        <v>109</v>
      </c>
      <c r="G9" s="3" t="s">
        <v>192</v>
      </c>
      <c r="H9" s="3"/>
    </row>
    <row r="10" spans="1:9" ht="16.5">
      <c r="A10" s="3" t="s">
        <v>201</v>
      </c>
      <c r="B10" s="3" t="s">
        <v>202</v>
      </c>
      <c r="C10" s="3" t="s">
        <v>203</v>
      </c>
      <c r="D10" s="3" t="s">
        <v>204</v>
      </c>
      <c r="E10" s="31">
        <v>0</v>
      </c>
      <c r="F10" s="3" t="s">
        <v>205</v>
      </c>
      <c r="G10" s="3" t="s">
        <v>189</v>
      </c>
      <c r="H10" s="3"/>
    </row>
    <row r="11" spans="1:9" ht="16.5">
      <c r="A11" s="3" t="s">
        <v>206</v>
      </c>
      <c r="B11" s="3" t="s">
        <v>141</v>
      </c>
      <c r="C11" s="3" t="s">
        <v>200</v>
      </c>
      <c r="D11" s="3" t="s">
        <v>207</v>
      </c>
      <c r="E11" s="31">
        <v>0</v>
      </c>
      <c r="F11" s="3" t="s">
        <v>205</v>
      </c>
      <c r="G11" s="3" t="s">
        <v>192</v>
      </c>
      <c r="H11" s="3"/>
    </row>
    <row r="12" spans="1:9" ht="16.5">
      <c r="A12" s="3" t="s">
        <v>208</v>
      </c>
      <c r="B12" s="3" t="s">
        <v>144</v>
      </c>
      <c r="C12" s="3" t="s">
        <v>207</v>
      </c>
      <c r="D12" s="3" t="s">
        <v>209</v>
      </c>
      <c r="E12" s="31">
        <v>0</v>
      </c>
      <c r="F12" s="3" t="s">
        <v>205</v>
      </c>
      <c r="G12" s="3" t="s">
        <v>189</v>
      </c>
      <c r="H12" s="3" t="s">
        <v>210</v>
      </c>
    </row>
  </sheetData>
  <mergeCells count="2">
    <mergeCell ref="A1:I1"/>
    <mergeCell ref="A2:I2"/>
  </mergeCells>
  <phoneticPr fontId="15" type="noConversion"/>
  <conditionalFormatting sqref="E5:E12">
    <cfRule type="dataBar" priority="4">
      <dataBar>
        <cfvo type="num" val="0"/>
        <cfvo type="num" val="1"/>
        <color rgb="FF81D8D1"/>
      </dataBar>
    </cfRule>
  </conditionalFormatting>
  <conditionalFormatting sqref="F5:F12">
    <cfRule type="cellIs" dxfId="4" priority="1" operator="equal">
      <formula>"已完成"</formula>
    </cfRule>
    <cfRule type="cellIs" dxfId="3" priority="2" operator="equal">
      <formula>"进行中"</formula>
    </cfRule>
    <cfRule type="cellIs" dxfId="2" priority="3" operator="equal">
      <formula>"未开始"</formula>
    </cfRule>
  </conditionalFormatting>
  <conditionalFormatting sqref="G5:G12">
    <cfRule type="cellIs" dxfId="1" priority="5" operator="equal">
      <formula>"P0"</formula>
    </cfRule>
    <cfRule type="cellIs" dxfId="0" priority="6" operator="equal">
      <formula>"P1"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月份透视</vt:lpstr>
      <vt:lpstr>产品透视</vt:lpstr>
      <vt:lpstr>按部门透视</vt:lpstr>
      <vt:lpstr>透视数据</vt:lpstr>
      <vt:lpstr>文字格式</vt:lpstr>
      <vt:lpstr>表格</vt:lpstr>
      <vt:lpstr>图表</vt:lpstr>
      <vt:lpstr>高级功能</vt:lpstr>
      <vt:lpstr>项目进度</vt:lpstr>
      <vt:lpstr>高级功能!Print_Titles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Winchester</cp:lastModifiedBy>
  <dcterms:created xsi:type="dcterms:W3CDTF">2026-06-14T02:52:15Z</dcterms:created>
  <dcterms:modified xsi:type="dcterms:W3CDTF">2026-06-14T02:59:06Z</dcterms:modified>
</cp:coreProperties>
</file>